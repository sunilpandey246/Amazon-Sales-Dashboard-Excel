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ddc92256c913e152/Documents/"/>
    </mc:Choice>
  </mc:AlternateContent>
  <xr:revisionPtr revIDLastSave="78" documentId="6_{885CA94A-0B15-406B-BA0F-CF7E6F476D8A}" xr6:coauthVersionLast="47" xr6:coauthVersionMax="47" xr10:uidLastSave="{4EE06619-75B8-460C-8F9A-0B6C187DC91A}"/>
  <bookViews>
    <workbookView xWindow="-120" yWindow="-120" windowWidth="20730" windowHeight="11040" xr2:uid="{6CFBF441-39D0-484A-90D2-CF454B8773B0}"/>
  </bookViews>
  <sheets>
    <sheet name="Dashboard" sheetId="4" r:id="rId1"/>
    <sheet name="Analysis" sheetId="5" r:id="rId2"/>
    <sheet name="Row Data" sheetId="1" r:id="rId3"/>
  </sheets>
  <definedNames>
    <definedName name="_xlnm._FilterDatabase" localSheetId="2" hidden="1">'Row Data'!$A$1:$L$1</definedName>
    <definedName name="Category">OFFSET(Analysis!$AF$3,1,0,COUNT(Analysis!$AG:$AG))</definedName>
    <definedName name="CategoryRange">OFFSET(Analysis!$AF$3,1,1,COUNT(Analysis!$AG:$AG))</definedName>
    <definedName name="Slicer_MONTH">#N/A</definedName>
    <definedName name="Slicer_Payment_Mode">#N/A</definedName>
    <definedName name="Slicer_Sale_Typ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 i="5" l="1"/>
  <c r="AK3" i="5" a="1"/>
  <c r="AK3" i="5" s="1"/>
  <c r="AI3" i="5" s="1"/>
  <c r="AJ3" i="5" a="1"/>
  <c r="AJ3" i="5" s="1"/>
  <c r="AB1" i="5"/>
  <c r="AC1" i="5" s="1"/>
  <c r="AA4" i="5" s="1" a="1"/>
  <c r="AA4" i="5" s="1"/>
  <c r="Y4" i="5" a="1"/>
  <c r="Y4" i="5" s="1"/>
  <c r="X4" i="5" a="1"/>
  <c r="X4" i="5" s="1"/>
  <c r="U4" i="5" s="1" a="1"/>
  <c r="U4" i="5" s="1"/>
  <c r="V1" i="5" s="1"/>
  <c r="W4" i="5" a="1"/>
  <c r="W4" i="5" s="1"/>
  <c r="V4" i="5" a="1"/>
  <c r="V4" i="5" s="1"/>
  <c r="M5" i="5"/>
  <c r="N5" i="5" s="1"/>
  <c r="M6" i="5"/>
  <c r="N6" i="5" s="1"/>
  <c r="M7" i="5"/>
  <c r="N7" i="5" s="1"/>
  <c r="M8" i="5"/>
  <c r="N8" i="5" s="1"/>
  <c r="M9" i="5"/>
  <c r="N9" i="5" s="1"/>
  <c r="M10" i="5"/>
  <c r="N10" i="5" s="1"/>
  <c r="M11" i="5"/>
  <c r="N11" i="5" s="1"/>
  <c r="M12" i="5"/>
  <c r="N12" i="5" s="1"/>
  <c r="M13" i="5"/>
  <c r="N13" i="5" s="1"/>
  <c r="M14" i="5"/>
  <c r="N14" i="5" s="1"/>
  <c r="M15" i="5"/>
  <c r="N15" i="5" s="1"/>
  <c r="M4" i="5"/>
  <c r="N4" i="5" s="1"/>
  <c r="L5" i="5"/>
  <c r="L6" i="5"/>
  <c r="L7" i="5"/>
  <c r="L8" i="5"/>
  <c r="L9" i="5"/>
  <c r="L10" i="5"/>
  <c r="L11" i="5"/>
  <c r="L12" i="5"/>
  <c r="L13" i="5"/>
  <c r="L14" i="5"/>
  <c r="L15" i="5"/>
  <c r="L4" i="5"/>
  <c r="E7" i="5"/>
  <c r="E8" i="5" s="1"/>
  <c r="AI6" i="5" l="1"/>
  <c r="AI4" i="5"/>
  <c r="AI5" i="5"/>
  <c r="AI7" i="5"/>
  <c r="AB4" i="5" a="1"/>
  <c r="AB4" i="5" s="1"/>
  <c r="Y1" i="5"/>
  <c r="X1" i="5"/>
  <c r="W1" i="5"/>
  <c r="AJ1" i="5" l="1"/>
  <c r="AK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<sst xmlns="http://schemas.openxmlformats.org/spreadsheetml/2006/main" count="7764" uniqueCount="143">
  <si>
    <t>Date</t>
  </si>
  <si>
    <t>Product ID</t>
  </si>
  <si>
    <t>Quantity</t>
  </si>
  <si>
    <t>Sale Type</t>
  </si>
  <si>
    <t>Payment Mode</t>
  </si>
  <si>
    <t>Discount %</t>
  </si>
  <si>
    <t>Product</t>
  </si>
  <si>
    <t>Category</t>
  </si>
  <si>
    <t>UOM</t>
  </si>
  <si>
    <t>Buying Price</t>
  </si>
  <si>
    <t>Selling Price</t>
  </si>
  <si>
    <t>P0025</t>
  </si>
  <si>
    <t>Wholesaler</t>
  </si>
  <si>
    <t>Online</t>
  </si>
  <si>
    <t>Product25</t>
  </si>
  <si>
    <t>Category03</t>
  </si>
  <si>
    <t>No.</t>
  </si>
  <si>
    <t>P0027</t>
  </si>
  <si>
    <t>Direct Sales</t>
  </si>
  <si>
    <t>Product27</t>
  </si>
  <si>
    <t>Category04</t>
  </si>
  <si>
    <t>Lt</t>
  </si>
  <si>
    <t>P0014</t>
  </si>
  <si>
    <t>Cash</t>
  </si>
  <si>
    <t>Product14</t>
  </si>
  <si>
    <t>Category02</t>
  </si>
  <si>
    <t>Kg</t>
  </si>
  <si>
    <t>P0011</t>
  </si>
  <si>
    <t>Product11</t>
  </si>
  <si>
    <t>P0017</t>
  </si>
  <si>
    <t>Product17</t>
  </si>
  <si>
    <t>P0045</t>
  </si>
  <si>
    <t>Product45</t>
  </si>
  <si>
    <t>Category05</t>
  </si>
  <si>
    <t>P0035</t>
  </si>
  <si>
    <t>Product35</t>
  </si>
  <si>
    <t>P0023</t>
  </si>
  <si>
    <t>Product23</t>
  </si>
  <si>
    <t>Ft</t>
  </si>
  <si>
    <t>P0041</t>
  </si>
  <si>
    <t>Product41</t>
  </si>
  <si>
    <t>P0006</t>
  </si>
  <si>
    <t>Product06</t>
  </si>
  <si>
    <t>Category01</t>
  </si>
  <si>
    <t>P0022</t>
  </si>
  <si>
    <t>Product22</t>
  </si>
  <si>
    <t>P0018</t>
  </si>
  <si>
    <t>Product18</t>
  </si>
  <si>
    <t>P0019</t>
  </si>
  <si>
    <t>Product19</t>
  </si>
  <si>
    <t>P0036</t>
  </si>
  <si>
    <t>Product36</t>
  </si>
  <si>
    <t>P0012</t>
  </si>
  <si>
    <t>Product12</t>
  </si>
  <si>
    <t>P0003</t>
  </si>
  <si>
    <t>Product03</t>
  </si>
  <si>
    <t>P0030</t>
  </si>
  <si>
    <t>Product30</t>
  </si>
  <si>
    <t>P0001</t>
  </si>
  <si>
    <t>Product01</t>
  </si>
  <si>
    <t>P0021</t>
  </si>
  <si>
    <t>Product21</t>
  </si>
  <si>
    <t>P0016</t>
  </si>
  <si>
    <t>Product16</t>
  </si>
  <si>
    <t>P0008</t>
  </si>
  <si>
    <t>Product08</t>
  </si>
  <si>
    <t>P0020</t>
  </si>
  <si>
    <t>Product20</t>
  </si>
  <si>
    <t>P0015</t>
  </si>
  <si>
    <t>Product15</t>
  </si>
  <si>
    <t>P0005</t>
  </si>
  <si>
    <t>Product05</t>
  </si>
  <si>
    <t>P0037</t>
  </si>
  <si>
    <t>Product37</t>
  </si>
  <si>
    <t>P0029</t>
  </si>
  <si>
    <t>Product29</t>
  </si>
  <si>
    <t>P0010</t>
  </si>
  <si>
    <t>Product10</t>
  </si>
  <si>
    <t>P0039</t>
  </si>
  <si>
    <t>Product39</t>
  </si>
  <si>
    <t>P0031</t>
  </si>
  <si>
    <t>Product31</t>
  </si>
  <si>
    <t>P0043</t>
  </si>
  <si>
    <t>Product43</t>
  </si>
  <si>
    <t>P0042</t>
  </si>
  <si>
    <t>Product42</t>
  </si>
  <si>
    <t>P0028</t>
  </si>
  <si>
    <t>Product28</t>
  </si>
  <si>
    <t>P0044</t>
  </si>
  <si>
    <t>Product44</t>
  </si>
  <si>
    <t>P0032</t>
  </si>
  <si>
    <t>Product32</t>
  </si>
  <si>
    <t>P0038</t>
  </si>
  <si>
    <t>Product38</t>
  </si>
  <si>
    <t>P0026</t>
  </si>
  <si>
    <t>Product26</t>
  </si>
  <si>
    <t>P0034</t>
  </si>
  <si>
    <t>Product34</t>
  </si>
  <si>
    <t>P0004</t>
  </si>
  <si>
    <t>Product04</t>
  </si>
  <si>
    <t>P0007</t>
  </si>
  <si>
    <t>Product07</t>
  </si>
  <si>
    <t>P0024</t>
  </si>
  <si>
    <t>Product24</t>
  </si>
  <si>
    <t>P0040</t>
  </si>
  <si>
    <t>Product40</t>
  </si>
  <si>
    <t>P0009</t>
  </si>
  <si>
    <t>Product09</t>
  </si>
  <si>
    <t>P0002</t>
  </si>
  <si>
    <t>Product02</t>
  </si>
  <si>
    <t>P0013</t>
  </si>
  <si>
    <t>Product13</t>
  </si>
  <si>
    <t>P0033</t>
  </si>
  <si>
    <t>Product33</t>
  </si>
  <si>
    <t>Total Buying Value</t>
  </si>
  <si>
    <t>Total Selling Value</t>
  </si>
  <si>
    <t>DAY</t>
  </si>
  <si>
    <t>MONTH</t>
  </si>
  <si>
    <t>YEAR</t>
  </si>
  <si>
    <t>2025</t>
  </si>
  <si>
    <t>May</t>
  </si>
  <si>
    <t>2024</t>
  </si>
  <si>
    <t>Jan</t>
  </si>
  <si>
    <t>Feb</t>
  </si>
  <si>
    <t>Mar</t>
  </si>
  <si>
    <t>Apr</t>
  </si>
  <si>
    <t>Jun</t>
  </si>
  <si>
    <t>Jul</t>
  </si>
  <si>
    <t>Aug</t>
  </si>
  <si>
    <t>Sep</t>
  </si>
  <si>
    <t>Oct</t>
  </si>
  <si>
    <t>Nov</t>
  </si>
  <si>
    <t>Dec</t>
  </si>
  <si>
    <t>Sum of Total Selling Value</t>
  </si>
  <si>
    <t>Sum of Total Buying Value</t>
  </si>
  <si>
    <t>Sum of Quantity</t>
  </si>
  <si>
    <t>Total Sales</t>
  </si>
  <si>
    <t>Total Profit</t>
  </si>
  <si>
    <t>Profit %</t>
  </si>
  <si>
    <t>Month</t>
  </si>
  <si>
    <t>Sales</t>
  </si>
  <si>
    <t>Profit</t>
  </si>
  <si>
    <t xml:space="preserve">SALE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</si>
</sst>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0.0%"/>
    <numFmt numFmtId="166" formatCode="[$$-409]#,##0.00"/>
    <numFmt numFmtId="167" formatCode="[$$-409]#,##0"/>
  </numFmts>
  <fonts count="4" x14ac:knownFonts="1">
    <font>
      <sz val="11"/>
      <color theme="1"/>
      <name val="Calibri"/>
      <family val="2"/>
      <scheme val="minor"/>
    </font>
    <font>
      <sz val="11"/>
      <color theme="1"/>
      <name val="Calibri"/>
      <family val="2"/>
      <scheme val="minor"/>
    </font>
    <font>
      <sz val="10"/>
      <name val="Arial"/>
      <family val="2"/>
    </font>
    <font>
      <b/>
      <sz val="12"/>
      <color rgb="FFFFFFFF"/>
      <name val="Calibri"/>
      <family val="2"/>
      <scheme val="minor"/>
    </font>
  </fonts>
  <fills count="3">
    <fill>
      <patternFill patternType="none"/>
    </fill>
    <fill>
      <patternFill patternType="gray125"/>
    </fill>
    <fill>
      <patternFill patternType="solid">
        <fgColor rgb="FF2E75B6"/>
        <bgColor rgb="FF4F81BD"/>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right style="thin">
        <color rgb="FFB7B7B7"/>
      </right>
      <top style="thin">
        <color rgb="FFB7B7B7"/>
      </top>
      <bottom style="thin">
        <color rgb="FFB7B7B7"/>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0" borderId="1" xfId="0" applyFont="1" applyBorder="1"/>
    <xf numFmtId="0" fontId="2" fillId="0" borderId="1" xfId="0" applyFont="1" applyBorder="1" applyAlignment="1">
      <alignment horizontal="right"/>
    </xf>
    <xf numFmtId="165" fontId="2" fillId="0" borderId="1" xfId="0" applyNumberFormat="1" applyFont="1" applyBorder="1" applyAlignment="1">
      <alignment horizontal="right"/>
    </xf>
    <xf numFmtId="0" fontId="3" fillId="2" borderId="1" xfId="0" applyFont="1" applyFill="1" applyBorder="1" applyAlignment="1">
      <alignment horizontal="center" vertical="center"/>
    </xf>
    <xf numFmtId="0" fontId="0" fillId="0" borderId="0" xfId="0" pivotButton="1"/>
    <xf numFmtId="0" fontId="3" fillId="2" borderId="2" xfId="0" applyFont="1" applyFill="1" applyBorder="1" applyAlignment="1">
      <alignment horizontal="center" vertical="center"/>
    </xf>
    <xf numFmtId="166" fontId="2" fillId="0" borderId="1" xfId="0" applyNumberFormat="1" applyFont="1" applyBorder="1" applyAlignment="1">
      <alignment horizontal="right"/>
    </xf>
    <xf numFmtId="166" fontId="0" fillId="0" borderId="0" xfId="0" applyNumberFormat="1"/>
    <xf numFmtId="0" fontId="3" fillId="2" borderId="3" xfId="0" applyFont="1" applyFill="1" applyBorder="1" applyAlignment="1">
      <alignment horizontal="center" vertical="center"/>
    </xf>
    <xf numFmtId="164" fontId="2" fillId="0" borderId="3" xfId="0" applyNumberFormat="1" applyFont="1" applyBorder="1"/>
    <xf numFmtId="0" fontId="0" fillId="0" borderId="0" xfId="0" applyNumberFormat="1"/>
    <xf numFmtId="9" fontId="0" fillId="0" borderId="0" xfId="1" applyFont="1"/>
    <xf numFmtId="9" fontId="0" fillId="0" borderId="0" xfId="1" applyNumberFormat="1" applyFont="1"/>
    <xf numFmtId="167" fontId="0" fillId="0" borderId="0" xfId="0" applyNumberFormat="1"/>
    <xf numFmtId="0" fontId="0" fillId="0" borderId="0" xfId="0"/>
    <xf numFmtId="0" fontId="0" fillId="0" borderId="0" xfId="0"/>
  </cellXfs>
  <cellStyles count="2">
    <cellStyle name="Normal" xfId="0" builtinId="0"/>
    <cellStyle name="Percent" xfId="1" builtinId="5"/>
  </cellStyles>
  <dxfs count="19">
    <dxf>
      <numFmt numFmtId="166" formatCode="[$$-409]#,##0.00"/>
    </dxf>
    <dxf>
      <numFmt numFmtId="166" formatCode="[$$-409]#,##0.00"/>
    </dxf>
    <dxf>
      <font>
        <b val="0"/>
        <i val="0"/>
        <strike val="0"/>
        <condense val="0"/>
        <extend val="0"/>
        <outline val="0"/>
        <shadow val="0"/>
        <u val="none"/>
        <vertAlign val="baseline"/>
        <sz val="10"/>
        <color auto="1"/>
        <name val="Arial"/>
        <family val="2"/>
        <scheme val="none"/>
      </font>
      <numFmt numFmtId="166" formatCode="[$$-409]#,##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numFmt numFmtId="166" formatCode="[$$-409]#,##0.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numFmt numFmtId="165" formatCode="0.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numFmt numFmtId="164" formatCode="dd\-mm\-yyyy"/>
      <border diagonalUp="0" diagonalDown="0">
        <left/>
        <right style="thin">
          <color rgb="FFB7B7B7"/>
        </right>
        <top style="thin">
          <color rgb="FFB7B7B7"/>
        </top>
        <bottom style="thin">
          <color rgb="FFB7B7B7"/>
        </bottom>
        <vertical/>
        <horizontal/>
      </border>
    </dxf>
    <dxf>
      <border outline="0">
        <left style="thin">
          <color rgb="FFB7B7B7"/>
        </left>
      </border>
    </dxf>
    <dxf>
      <font>
        <b/>
        <i val="0"/>
        <strike val="0"/>
        <condense val="0"/>
        <extend val="0"/>
        <outline val="0"/>
        <shadow val="0"/>
        <u val="none"/>
        <vertAlign val="baseline"/>
        <sz val="12"/>
        <color rgb="FFFFFFFF"/>
        <name val="Calibri"/>
        <family val="2"/>
        <scheme val="minor"/>
      </font>
      <fill>
        <patternFill patternType="solid">
          <fgColor rgb="FF4F81BD"/>
          <bgColor rgb="FF2E75B6"/>
        </patternFill>
      </fill>
      <alignment horizontal="center" vertical="center" textRotation="0" wrapText="0" indent="0" justifyLastLine="0" shrinkToFit="0" readingOrder="0"/>
      <border diagonalUp="0" diagonalDown="0" outline="0">
        <left style="thin">
          <color rgb="FFB7B7B7"/>
        </left>
        <right style="thin">
          <color rgb="FFB7B7B7"/>
        </right>
        <top/>
        <bottom/>
      </border>
    </dxf>
    <dxf>
      <numFmt numFmtId="166" formatCode="[$$-409]#,##0.00"/>
    </dxf>
    <dxf>
      <font>
        <b/>
        <i val="0"/>
        <strike val="0"/>
        <u val="none"/>
        <sz val="14"/>
        <color rgb="FFC00000"/>
        <name val="Arial"/>
        <family val="2"/>
        <scheme val="none"/>
      </font>
    </dxf>
    <dxf>
      <fill>
        <patternFill>
          <bgColor theme="5" tint="0.39994506668294322"/>
        </patternFill>
      </fill>
    </dxf>
    <dxf>
      <font>
        <b/>
        <i val="0"/>
        <sz val="14"/>
        <color theme="7"/>
        <name val="Aptos Narrow"/>
        <family val="2"/>
        <scheme val="none"/>
      </font>
    </dxf>
  </dxfs>
  <tableStyles count="3" defaultTableStyle="TableStyleMedium2" defaultPivotStyle="PivotStyleLight16">
    <tableStyle name="Slicer Style 1" pivot="0" table="0" count="1" xr9:uid="{7C70DB3A-0A7F-4A9F-A485-AC2269044172}">
      <tableStyleElement type="headerRow" dxfId="18"/>
    </tableStyle>
    <tableStyle name="Slicer Style 2" pivot="0" table="0" count="1" xr9:uid="{84B62535-7343-46F4-878A-028AFBA130DC}">
      <tableStyleElement type="wholeTable" dxfId="17"/>
    </tableStyle>
    <tableStyle name="Slicer Style 3" pivot="0" table="0" count="2" xr9:uid="{92FB3AEE-1E43-4C65-941E-25F0E27C412B}">
      <tableStyleElement type="headerRow" dxfId="16"/>
    </tableStyle>
  </tableStyles>
  <extLst>
    <ext xmlns:x14="http://schemas.microsoft.com/office/spreadsheetml/2009/9/main" uri="{46F421CA-312F-682f-3DD2-61675219B42D}">
      <x14:dxfs count="1">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dashboard.xlsx]Analysis!Daily</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Analysis!$B$3</c:f>
              <c:strCache>
                <c:ptCount val="1"/>
                <c:pt idx="0">
                  <c:v>Total</c:v>
                </c:pt>
              </c:strCache>
            </c:strRef>
          </c:tx>
          <c:spPr>
            <a:solidFill>
              <a:schemeClr val="accent1"/>
            </a:solidFill>
            <a:ln>
              <a:noFill/>
            </a:ln>
            <a:effectLst/>
          </c:spPr>
          <c:cat>
            <c:strRef>
              <c:f>Analysis!$A$4:$A$34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Analysis!$B$4:$B$34</c:f>
              <c:numCache>
                <c:formatCode>[$$-409]#,##0.00</c:formatCode>
                <c:ptCount val="31"/>
                <c:pt idx="0">
                  <c:v>14737.609999999999</c:v>
                </c:pt>
                <c:pt idx="1">
                  <c:v>22019.070000000007</c:v>
                </c:pt>
                <c:pt idx="2">
                  <c:v>16006.740000000002</c:v>
                </c:pt>
                <c:pt idx="3">
                  <c:v>15090.789999999999</c:v>
                </c:pt>
                <c:pt idx="4">
                  <c:v>19610.640000000003</c:v>
                </c:pt>
                <c:pt idx="5">
                  <c:v>14576.579999999996</c:v>
                </c:pt>
                <c:pt idx="6">
                  <c:v>27337.030000000002</c:v>
                </c:pt>
                <c:pt idx="7">
                  <c:v>32615.180000000008</c:v>
                </c:pt>
                <c:pt idx="8">
                  <c:v>14204</c:v>
                </c:pt>
                <c:pt idx="9">
                  <c:v>25998.660000000003</c:v>
                </c:pt>
                <c:pt idx="10">
                  <c:v>21730.020000000004</c:v>
                </c:pt>
                <c:pt idx="11">
                  <c:v>11954.630000000001</c:v>
                </c:pt>
                <c:pt idx="12">
                  <c:v>26725.38</c:v>
                </c:pt>
                <c:pt idx="13">
                  <c:v>17846.449999999997</c:v>
                </c:pt>
                <c:pt idx="14">
                  <c:v>19773.12</c:v>
                </c:pt>
                <c:pt idx="15">
                  <c:v>25044.900000000009</c:v>
                </c:pt>
                <c:pt idx="16">
                  <c:v>25596.699999999993</c:v>
                </c:pt>
                <c:pt idx="17">
                  <c:v>11851.74</c:v>
                </c:pt>
                <c:pt idx="18">
                  <c:v>27176.869999999995</c:v>
                </c:pt>
                <c:pt idx="19">
                  <c:v>16154.380000000003</c:v>
                </c:pt>
                <c:pt idx="20">
                  <c:v>14607.51</c:v>
                </c:pt>
                <c:pt idx="21">
                  <c:v>19450.559999999998</c:v>
                </c:pt>
                <c:pt idx="22">
                  <c:v>22767.709999999992</c:v>
                </c:pt>
                <c:pt idx="23">
                  <c:v>20803.500000000004</c:v>
                </c:pt>
                <c:pt idx="24">
                  <c:v>12994.789999999999</c:v>
                </c:pt>
                <c:pt idx="25">
                  <c:v>17742.430000000004</c:v>
                </c:pt>
                <c:pt idx="26">
                  <c:v>15266.849999999999</c:v>
                </c:pt>
                <c:pt idx="27">
                  <c:v>24204.75</c:v>
                </c:pt>
                <c:pt idx="28">
                  <c:v>21087.449999999997</c:v>
                </c:pt>
                <c:pt idx="29">
                  <c:v>13728.130000000001</c:v>
                </c:pt>
                <c:pt idx="30">
                  <c:v>12791.270000000004</c:v>
                </c:pt>
              </c:numCache>
            </c:numRef>
          </c:val>
          <c:extLst>
            <c:ext xmlns:c16="http://schemas.microsoft.com/office/drawing/2014/chart" uri="{C3380CC4-5D6E-409C-BE32-E72D297353CC}">
              <c16:uniqueId val="{00000000-69A5-4B9D-9717-5C5E45FE8ECD}"/>
            </c:ext>
          </c:extLst>
        </c:ser>
        <c:dLbls>
          <c:showLegendKey val="0"/>
          <c:showVal val="0"/>
          <c:showCatName val="0"/>
          <c:showSerName val="0"/>
          <c:showPercent val="0"/>
          <c:showBubbleSize val="0"/>
        </c:dLbls>
        <c:axId val="1902886480"/>
        <c:axId val="1902886064"/>
      </c:areaChart>
      <c:catAx>
        <c:axId val="190288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886064"/>
        <c:crosses val="autoZero"/>
        <c:auto val="1"/>
        <c:lblAlgn val="ctr"/>
        <c:lblOffset val="100"/>
        <c:noMultiLvlLbl val="0"/>
      </c:catAx>
      <c:valAx>
        <c:axId val="190288606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886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Analysis!$L$3</c:f>
              <c:strCache>
                <c:ptCount val="1"/>
                <c:pt idx="0">
                  <c:v>Sales</c:v>
                </c:pt>
              </c:strCache>
            </c:strRef>
          </c:tx>
          <c:spPr>
            <a:solidFill>
              <a:schemeClr val="accent1"/>
            </a:solidFill>
            <a:ln>
              <a:noFill/>
            </a:ln>
            <a:effectLst/>
          </c:spPr>
          <c:invertIfNegative val="0"/>
          <c:dLbls>
            <c:dLbl>
              <c:idx val="0"/>
              <c:tx>
                <c:rich>
                  <a:bodyPr/>
                  <a:lstStyle/>
                  <a:p>
                    <a:fld id="{B5EE70DC-62C0-424C-BB18-3C7DDE0EA30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8CD-4D0C-AAD9-CCA617172733}"/>
                </c:ext>
              </c:extLst>
            </c:dLbl>
            <c:dLbl>
              <c:idx val="1"/>
              <c:tx>
                <c:rich>
                  <a:bodyPr/>
                  <a:lstStyle/>
                  <a:p>
                    <a:fld id="{3D75BE6F-593F-4AD6-A530-FFACC956B54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8CD-4D0C-AAD9-CCA617172733}"/>
                </c:ext>
              </c:extLst>
            </c:dLbl>
            <c:dLbl>
              <c:idx val="2"/>
              <c:tx>
                <c:rich>
                  <a:bodyPr/>
                  <a:lstStyle/>
                  <a:p>
                    <a:fld id="{6E0B4000-7607-4626-9D44-BB997654128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8CD-4D0C-AAD9-CCA617172733}"/>
                </c:ext>
              </c:extLst>
            </c:dLbl>
            <c:dLbl>
              <c:idx val="3"/>
              <c:tx>
                <c:rich>
                  <a:bodyPr/>
                  <a:lstStyle/>
                  <a:p>
                    <a:fld id="{520F1C84-46B6-48B4-8FC7-499CCFB1838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8CD-4D0C-AAD9-CCA617172733}"/>
                </c:ext>
              </c:extLst>
            </c:dLbl>
            <c:dLbl>
              <c:idx val="4"/>
              <c:tx>
                <c:rich>
                  <a:bodyPr/>
                  <a:lstStyle/>
                  <a:p>
                    <a:fld id="{1B0CFF97-2E68-4057-A3B3-46B739B9CCC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8CD-4D0C-AAD9-CCA617172733}"/>
                </c:ext>
              </c:extLst>
            </c:dLbl>
            <c:dLbl>
              <c:idx val="5"/>
              <c:tx>
                <c:rich>
                  <a:bodyPr/>
                  <a:lstStyle/>
                  <a:p>
                    <a:fld id="{4EEFB85B-9D8C-4DE6-A88E-87D612208E3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8CD-4D0C-AAD9-CCA617172733}"/>
                </c:ext>
              </c:extLst>
            </c:dLbl>
            <c:dLbl>
              <c:idx val="6"/>
              <c:tx>
                <c:rich>
                  <a:bodyPr/>
                  <a:lstStyle/>
                  <a:p>
                    <a:fld id="{51DD22E8-20AA-495A-85E2-B65CBB77B79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8CD-4D0C-AAD9-CCA617172733}"/>
                </c:ext>
              </c:extLst>
            </c:dLbl>
            <c:dLbl>
              <c:idx val="7"/>
              <c:tx>
                <c:rich>
                  <a:bodyPr/>
                  <a:lstStyle/>
                  <a:p>
                    <a:fld id="{FDFB5F45-EA10-4849-9A16-393646AE732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8CD-4D0C-AAD9-CCA617172733}"/>
                </c:ext>
              </c:extLst>
            </c:dLbl>
            <c:dLbl>
              <c:idx val="8"/>
              <c:tx>
                <c:rich>
                  <a:bodyPr/>
                  <a:lstStyle/>
                  <a:p>
                    <a:fld id="{9F577CAA-3FD5-4D4E-84A9-7A8186A3498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8CD-4D0C-AAD9-CCA617172733}"/>
                </c:ext>
              </c:extLst>
            </c:dLbl>
            <c:dLbl>
              <c:idx val="9"/>
              <c:tx>
                <c:rich>
                  <a:bodyPr/>
                  <a:lstStyle/>
                  <a:p>
                    <a:fld id="{1E0130D1-D2C1-4A20-980B-FE03490B407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8CD-4D0C-AAD9-CCA617172733}"/>
                </c:ext>
              </c:extLst>
            </c:dLbl>
            <c:dLbl>
              <c:idx val="10"/>
              <c:tx>
                <c:rich>
                  <a:bodyPr/>
                  <a:lstStyle/>
                  <a:p>
                    <a:fld id="{4FB808EE-D362-4F0A-A74F-1A0D69AB49F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8CD-4D0C-AAD9-CCA617172733}"/>
                </c:ext>
              </c:extLst>
            </c:dLbl>
            <c:dLbl>
              <c:idx val="11"/>
              <c:tx>
                <c:rich>
                  <a:bodyPr/>
                  <a:lstStyle/>
                  <a:p>
                    <a:fld id="{F3772361-D834-4501-B561-8D57BBA4EFE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8CD-4D0C-AAD9-CCA617172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Analysis!$L$4:$L$15</c:f>
              <c:numCache>
                <c:formatCode>[$$-409]#,##0.00</c:formatCode>
                <c:ptCount val="12"/>
                <c:pt idx="0">
                  <c:v>48326.479999999989</c:v>
                </c:pt>
                <c:pt idx="1">
                  <c:v>49234.25</c:v>
                </c:pt>
                <c:pt idx="2">
                  <c:v>54296.280000000006</c:v>
                </c:pt>
                <c:pt idx="3">
                  <c:v>49662.260000000009</c:v>
                </c:pt>
                <c:pt idx="4">
                  <c:v>41457.110000000022</c:v>
                </c:pt>
                <c:pt idx="5">
                  <c:v>49074.73</c:v>
                </c:pt>
                <c:pt idx="6">
                  <c:v>36408.019999999997</c:v>
                </c:pt>
                <c:pt idx="7">
                  <c:v>52437.020000000011</c:v>
                </c:pt>
                <c:pt idx="8">
                  <c:v>45336.3</c:v>
                </c:pt>
                <c:pt idx="9">
                  <c:v>60131.469999999972</c:v>
                </c:pt>
                <c:pt idx="10">
                  <c:v>52803.610000000015</c:v>
                </c:pt>
                <c:pt idx="11">
                  <c:v>62327.909999999989</c:v>
                </c:pt>
              </c:numCache>
            </c:numRef>
          </c:val>
          <c:extLst>
            <c:ext xmlns:c15="http://schemas.microsoft.com/office/drawing/2012/chart" uri="{02D57815-91ED-43cb-92C2-25804820EDAC}">
              <c15:datalabelsRange>
                <c15:f>Analysis!$N$4:$N$15</c15:f>
                <c15:dlblRangeCache>
                  <c:ptCount val="12"/>
                  <c:pt idx="0">
                    <c:v>11%</c:v>
                  </c:pt>
                  <c:pt idx="1">
                    <c:v>13%</c:v>
                  </c:pt>
                  <c:pt idx="2">
                    <c:v>13%</c:v>
                  </c:pt>
                  <c:pt idx="3">
                    <c:v>12%</c:v>
                  </c:pt>
                  <c:pt idx="4">
                    <c:v>13%</c:v>
                  </c:pt>
                  <c:pt idx="5">
                    <c:v>13%</c:v>
                  </c:pt>
                  <c:pt idx="6">
                    <c:v>12%</c:v>
                  </c:pt>
                  <c:pt idx="7">
                    <c:v>13%</c:v>
                  </c:pt>
                  <c:pt idx="8">
                    <c:v>10%</c:v>
                  </c:pt>
                  <c:pt idx="9">
                    <c:v>13%</c:v>
                  </c:pt>
                  <c:pt idx="10">
                    <c:v>12%</c:v>
                  </c:pt>
                  <c:pt idx="11">
                    <c:v>13%</c:v>
                  </c:pt>
                </c15:dlblRangeCache>
              </c15:datalabelsRange>
            </c:ext>
            <c:ext xmlns:c16="http://schemas.microsoft.com/office/drawing/2014/chart" uri="{C3380CC4-5D6E-409C-BE32-E72D297353CC}">
              <c16:uniqueId val="{0000000C-88CD-4D0C-AAD9-CCA617172733}"/>
            </c:ext>
          </c:extLst>
        </c:ser>
        <c:ser>
          <c:idx val="1"/>
          <c:order val="1"/>
          <c:tx>
            <c:strRef>
              <c:f>Analysis!$M$3</c:f>
              <c:strCache>
                <c:ptCount val="1"/>
                <c:pt idx="0">
                  <c:v>Profit</c:v>
                </c:pt>
              </c:strCache>
            </c:strRef>
          </c:tx>
          <c:spPr>
            <a:solidFill>
              <a:schemeClr val="accent2"/>
            </a:solidFill>
            <a:ln>
              <a:noFill/>
            </a:ln>
            <a:effectLst/>
          </c:spPr>
          <c:invertIfNegative val="0"/>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[$$-409]#,##0.00</c:formatCode>
                <c:ptCount val="12"/>
                <c:pt idx="0">
                  <c:v>4977.4799999999886</c:v>
                </c:pt>
                <c:pt idx="1">
                  <c:v>5564.25</c:v>
                </c:pt>
                <c:pt idx="2">
                  <c:v>6050.2800000000061</c:v>
                </c:pt>
                <c:pt idx="3">
                  <c:v>5417.2600000000093</c:v>
                </c:pt>
                <c:pt idx="4">
                  <c:v>4636.1100000000224</c:v>
                </c:pt>
                <c:pt idx="5">
                  <c:v>5576.7300000000032</c:v>
                </c:pt>
                <c:pt idx="6">
                  <c:v>3942.0199999999968</c:v>
                </c:pt>
                <c:pt idx="7">
                  <c:v>5827.0200000000114</c:v>
                </c:pt>
                <c:pt idx="8">
                  <c:v>4194.3000000000029</c:v>
                </c:pt>
                <c:pt idx="9">
                  <c:v>6698.4699999999721</c:v>
                </c:pt>
                <c:pt idx="10">
                  <c:v>5817.6100000000151</c:v>
                </c:pt>
                <c:pt idx="11">
                  <c:v>7078.9099999999889</c:v>
                </c:pt>
              </c:numCache>
            </c:numRef>
          </c:val>
          <c:extLst>
            <c:ext xmlns:c16="http://schemas.microsoft.com/office/drawing/2014/chart" uri="{C3380CC4-5D6E-409C-BE32-E72D297353CC}">
              <c16:uniqueId val="{0000000D-88CD-4D0C-AAD9-CCA617172733}"/>
            </c:ext>
          </c:extLst>
        </c:ser>
        <c:dLbls>
          <c:showLegendKey val="0"/>
          <c:showVal val="0"/>
          <c:showCatName val="0"/>
          <c:showSerName val="0"/>
          <c:showPercent val="0"/>
          <c:showBubbleSize val="0"/>
        </c:dLbls>
        <c:gapWidth val="50"/>
        <c:overlap val="100"/>
        <c:axId val="740309871"/>
        <c:axId val="740310703"/>
      </c:barChart>
      <c:catAx>
        <c:axId val="74030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10703"/>
        <c:crosses val="autoZero"/>
        <c:auto val="1"/>
        <c:lblAlgn val="ctr"/>
        <c:lblOffset val="100"/>
        <c:noMultiLvlLbl val="0"/>
      </c:catAx>
      <c:valAx>
        <c:axId val="74031070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0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Analysis!$AA$4:$AA$13</c:f>
              <c:strCache>
                <c:ptCount val="10"/>
                <c:pt idx="0">
                  <c:v>Product31</c:v>
                </c:pt>
                <c:pt idx="1">
                  <c:v>Product32</c:v>
                </c:pt>
                <c:pt idx="2">
                  <c:v>Product33</c:v>
                </c:pt>
                <c:pt idx="3">
                  <c:v>Product34</c:v>
                </c:pt>
                <c:pt idx="4">
                  <c:v>Product35</c:v>
                </c:pt>
                <c:pt idx="5">
                  <c:v>Product36</c:v>
                </c:pt>
                <c:pt idx="6">
                  <c:v>Product37</c:v>
                </c:pt>
                <c:pt idx="7">
                  <c:v>Product38</c:v>
                </c:pt>
                <c:pt idx="8">
                  <c:v>Product39</c:v>
                </c:pt>
                <c:pt idx="9">
                  <c:v>Product40</c:v>
                </c:pt>
              </c:strCache>
            </c:strRef>
          </c:cat>
          <c:val>
            <c:numRef>
              <c:f>Analysis!$AB$4:$AB$13</c:f>
              <c:numCache>
                <c:formatCode>[$$-409]#,##0.00</c:formatCode>
                <c:ptCount val="10"/>
                <c:pt idx="0">
                  <c:v>14110.08</c:v>
                </c:pt>
                <c:pt idx="1">
                  <c:v>11657.409999999998</c:v>
                </c:pt>
                <c:pt idx="2">
                  <c:v>1684.29</c:v>
                </c:pt>
                <c:pt idx="3">
                  <c:v>12535.070000000002</c:v>
                </c:pt>
                <c:pt idx="4">
                  <c:v>837.30000000000007</c:v>
                </c:pt>
                <c:pt idx="5">
                  <c:v>23423.93</c:v>
                </c:pt>
                <c:pt idx="6">
                  <c:v>12360.470000000001</c:v>
                </c:pt>
                <c:pt idx="7">
                  <c:v>11545.989999999998</c:v>
                </c:pt>
                <c:pt idx="8">
                  <c:v>10074.65</c:v>
                </c:pt>
                <c:pt idx="9">
                  <c:v>26755.130000000005</c:v>
                </c:pt>
              </c:numCache>
            </c:numRef>
          </c:val>
          <c:extLst>
            <c:ext xmlns:c16="http://schemas.microsoft.com/office/drawing/2014/chart" uri="{C3380CC4-5D6E-409C-BE32-E72D297353CC}">
              <c16:uniqueId val="{00000000-3F78-4246-AEAC-48B07B19FB0B}"/>
            </c:ext>
          </c:extLst>
        </c:ser>
        <c:dLbls>
          <c:showLegendKey val="0"/>
          <c:showVal val="0"/>
          <c:showCatName val="0"/>
          <c:showSerName val="0"/>
          <c:showPercent val="0"/>
          <c:showBubbleSize val="0"/>
        </c:dLbls>
        <c:gapWidth val="50"/>
        <c:axId val="1265603279"/>
        <c:axId val="1265602863"/>
      </c:barChart>
      <c:catAx>
        <c:axId val="126560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02863"/>
        <c:crosses val="autoZero"/>
        <c:auto val="1"/>
        <c:lblAlgn val="ctr"/>
        <c:lblOffset val="100"/>
        <c:noMultiLvlLbl val="0"/>
      </c:catAx>
      <c:valAx>
        <c:axId val="1265602863"/>
        <c:scaling>
          <c:orientation val="minMax"/>
        </c:scaling>
        <c:delete val="1"/>
        <c:axPos val="b"/>
        <c:numFmt formatCode="[$$-409]#,##0.00" sourceLinked="1"/>
        <c:majorTickMark val="none"/>
        <c:minorTickMark val="none"/>
        <c:tickLblPos val="nextTo"/>
        <c:crossAx val="126560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dashboard.xlsx]Analysis!SalesType</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Analysis!$AO$3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2E-472C-8719-2C3C724F6A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2E-472C-8719-2C3C724F6A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2E-472C-8719-2C3C724F6A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Analysis!$AN$4:$AN$6</c:f>
              <c:strCache>
                <c:ptCount val="3"/>
                <c:pt idx="0">
                  <c:v>Direct Sales</c:v>
                </c:pt>
                <c:pt idx="1">
                  <c:v>Online</c:v>
                </c:pt>
                <c:pt idx="2">
                  <c:v>Wholesaler</c:v>
                </c:pt>
              </c:strCache>
            </c:strRef>
          </c:cat>
          <c:val>
            <c:numRef>
              <c:f>Analysis!$AO$4:$AO$6</c:f>
              <c:numCache>
                <c:formatCode>General</c:formatCode>
                <c:ptCount val="3"/>
                <c:pt idx="0">
                  <c:v>221918.55000000005</c:v>
                </c:pt>
                <c:pt idx="1">
                  <c:v>280688.22000000003</c:v>
                </c:pt>
                <c:pt idx="2">
                  <c:v>98888.66999999994</c:v>
                </c:pt>
              </c:numCache>
            </c:numRef>
          </c:val>
          <c:extLst>
            <c:ext xmlns:c16="http://schemas.microsoft.com/office/drawing/2014/chart" uri="{C3380CC4-5D6E-409C-BE32-E72D297353CC}">
              <c16:uniqueId val="{00000006-352E-472C-8719-2C3C724F6A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dashboard.xlsx]Analysis!PaymentMode</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Analysis!$AR$3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1C-4A8E-9E0F-3CD10278B7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1C-4A8E-9E0F-3CD10278B7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Analysis!$AQ$4:$AQ$5</c:f>
              <c:strCache>
                <c:ptCount val="2"/>
                <c:pt idx="0">
                  <c:v>Cash</c:v>
                </c:pt>
                <c:pt idx="1">
                  <c:v>Online</c:v>
                </c:pt>
              </c:strCache>
            </c:strRef>
          </c:cat>
          <c:val>
            <c:numRef>
              <c:f>Analysis!$AR$4:$AR$5</c:f>
              <c:numCache>
                <c:formatCode>General</c:formatCode>
                <c:ptCount val="2"/>
                <c:pt idx="0">
                  <c:v>297984.33999999979</c:v>
                </c:pt>
                <c:pt idx="1">
                  <c:v>303511.10000000009</c:v>
                </c:pt>
              </c:numCache>
            </c:numRef>
          </c:val>
          <c:extLst>
            <c:ext xmlns:c16="http://schemas.microsoft.com/office/drawing/2014/chart" uri="{C3380CC4-5D6E-409C-BE32-E72D297353CC}">
              <c16:uniqueId val="{00000004-371C-4A8E-9E0F-3CD10278B7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05FF9DE5-2CCD-4DD0-9DB2-6991E232E754}">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22" fmlaLink="$AA$1" max="100" min="1" page="10"/>
</file>

<file path=xl/ctrlProps/ctrlProp2.xml><?xml version="1.0" encoding="utf-8"?>
<formControlPr xmlns="http://schemas.microsoft.com/office/spreadsheetml/2009/9/main" objectType="CheckBox" checked="Checked" fmlaLink="$L$2" lockText="1" noThreeD="1"/>
</file>

<file path=xl/ctrlProps/ctrlProp3.xml><?xml version="1.0" encoding="utf-8"?>
<formControlPr xmlns="http://schemas.microsoft.com/office/spreadsheetml/2009/9/main" objectType="CheckBox" checked="Checked" fmlaLink="$M$2" lockText="1" noThreeD="1"/>
</file>

<file path=xl/ctrlProps/ctrlProp4.xml><?xml version="1.0" encoding="utf-8"?>
<formControlPr xmlns="http://schemas.microsoft.com/office/spreadsheetml/2009/9/main" objectType="CheckBox" checked="Checked" fmlaLink="$N$2"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378000</xdr:colOff>
      <xdr:row>35</xdr:row>
      <xdr:rowOff>169601</xdr:rowOff>
    </xdr:to>
    <xdr:sp macro="" textlink="">
      <xdr:nvSpPr>
        <xdr:cNvPr id="27" name="Rectangle: Rounded Corners 26">
          <a:extLst>
            <a:ext uri="{FF2B5EF4-FFF2-40B4-BE49-F238E27FC236}">
              <a16:creationId xmlns:a16="http://schemas.microsoft.com/office/drawing/2014/main" id="{9C67EE63-7E2B-D257-70C5-BB16891F2197}"/>
            </a:ext>
          </a:extLst>
        </xdr:cNvPr>
        <xdr:cNvSpPr/>
      </xdr:nvSpPr>
      <xdr:spPr>
        <a:xfrm>
          <a:off x="0" y="0"/>
          <a:ext cx="14467578" cy="6552588"/>
        </a:xfrm>
        <a:prstGeom prst="roundRect">
          <a:avLst>
            <a:gd name="adj" fmla="val 0"/>
          </a:avLst>
        </a:prstGeom>
        <a:solidFill>
          <a:schemeClr val="accent1">
            <a:lumMod val="75000"/>
          </a:schemeClr>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129436</xdr:colOff>
      <xdr:row>1</xdr:row>
      <xdr:rowOff>26831</xdr:rowOff>
    </xdr:from>
    <xdr:to>
      <xdr:col>9</xdr:col>
      <xdr:colOff>520700</xdr:colOff>
      <xdr:row>7</xdr:row>
      <xdr:rowOff>12700</xdr:rowOff>
    </xdr:to>
    <xdr:sp macro="" textlink="">
      <xdr:nvSpPr>
        <xdr:cNvPr id="28" name="Rectangle: Rounded Corners 27">
          <a:extLst>
            <a:ext uri="{FF2B5EF4-FFF2-40B4-BE49-F238E27FC236}">
              <a16:creationId xmlns:a16="http://schemas.microsoft.com/office/drawing/2014/main" id="{F36DA41C-394B-CC68-9856-DA149D860678}"/>
            </a:ext>
          </a:extLst>
        </xdr:cNvPr>
        <xdr:cNvSpPr/>
      </xdr:nvSpPr>
      <xdr:spPr>
        <a:xfrm>
          <a:off x="129436" y="107324"/>
          <a:ext cx="5368412" cy="1112770"/>
        </a:xfrm>
        <a:prstGeom prst="roundRect">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139700</xdr:colOff>
      <xdr:row>1</xdr:row>
      <xdr:rowOff>67077</xdr:rowOff>
    </xdr:from>
    <xdr:to>
      <xdr:col>24</xdr:col>
      <xdr:colOff>144619</xdr:colOff>
      <xdr:row>7</xdr:row>
      <xdr:rowOff>0</xdr:rowOff>
    </xdr:to>
    <xdr:sp macro="" textlink="">
      <xdr:nvSpPr>
        <xdr:cNvPr id="29" name="Rectangle: Rounded Corners 28">
          <a:extLst>
            <a:ext uri="{FF2B5EF4-FFF2-40B4-BE49-F238E27FC236}">
              <a16:creationId xmlns:a16="http://schemas.microsoft.com/office/drawing/2014/main" id="{9D37ECCA-B292-978A-DA5A-994C61262CCE}"/>
            </a:ext>
          </a:extLst>
        </xdr:cNvPr>
        <xdr:cNvSpPr/>
      </xdr:nvSpPr>
      <xdr:spPr>
        <a:xfrm>
          <a:off x="5815556" y="145365"/>
          <a:ext cx="8590467" cy="1107238"/>
        </a:xfrm>
        <a:prstGeom prst="roundRect">
          <a:avLst/>
        </a:prstGeom>
        <a:solidFill>
          <a:schemeClr val="tx1"/>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136071</xdr:colOff>
      <xdr:row>7</xdr:row>
      <xdr:rowOff>65239</xdr:rowOff>
    </xdr:from>
    <xdr:to>
      <xdr:col>3</xdr:col>
      <xdr:colOff>420584</xdr:colOff>
      <xdr:row>13</xdr:row>
      <xdr:rowOff>26095</xdr:rowOff>
    </xdr:to>
    <xdr:sp macro="" textlink="">
      <xdr:nvSpPr>
        <xdr:cNvPr id="30" name="Rectangle: Rounded Corners 29">
          <a:extLst>
            <a:ext uri="{FF2B5EF4-FFF2-40B4-BE49-F238E27FC236}">
              <a16:creationId xmlns:a16="http://schemas.microsoft.com/office/drawing/2014/main" id="{28990609-BC34-5A8B-31DE-A5A806304464}"/>
            </a:ext>
          </a:extLst>
        </xdr:cNvPr>
        <xdr:cNvSpPr/>
      </xdr:nvSpPr>
      <xdr:spPr>
        <a:xfrm>
          <a:off x="136071" y="1252771"/>
          <a:ext cx="1645227" cy="1074168"/>
        </a:xfrm>
        <a:prstGeom prst="roundRect">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117085</xdr:colOff>
      <xdr:row>13</xdr:row>
      <xdr:rowOff>91334</xdr:rowOff>
    </xdr:from>
    <xdr:to>
      <xdr:col>3</xdr:col>
      <xdr:colOff>300103</xdr:colOff>
      <xdr:row>31</xdr:row>
      <xdr:rowOff>143527</xdr:rowOff>
    </xdr:to>
    <xdr:sp macro="" textlink="">
      <xdr:nvSpPr>
        <xdr:cNvPr id="31" name="Rectangle: Rounded Corners 30">
          <a:extLst>
            <a:ext uri="{FF2B5EF4-FFF2-40B4-BE49-F238E27FC236}">
              <a16:creationId xmlns:a16="http://schemas.microsoft.com/office/drawing/2014/main" id="{A394FEB8-566D-E275-9CD4-181C58369C68}"/>
            </a:ext>
          </a:extLst>
        </xdr:cNvPr>
        <xdr:cNvSpPr/>
      </xdr:nvSpPr>
      <xdr:spPr>
        <a:xfrm>
          <a:off x="117085" y="2518252"/>
          <a:ext cx="1566100" cy="3575138"/>
        </a:xfrm>
        <a:prstGeom prst="roundRect">
          <a:avLst>
            <a:gd name="adj" fmla="val 3498"/>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104036</xdr:colOff>
      <xdr:row>31</xdr:row>
      <xdr:rowOff>182671</xdr:rowOff>
    </xdr:from>
    <xdr:to>
      <xdr:col>3</xdr:col>
      <xdr:colOff>74221</xdr:colOff>
      <xdr:row>35</xdr:row>
      <xdr:rowOff>121584</xdr:rowOff>
    </xdr:to>
    <xdr:sp macro="" textlink="">
      <xdr:nvSpPr>
        <xdr:cNvPr id="32" name="Rectangle: Rounded Corners 31">
          <a:extLst>
            <a:ext uri="{FF2B5EF4-FFF2-40B4-BE49-F238E27FC236}">
              <a16:creationId xmlns:a16="http://schemas.microsoft.com/office/drawing/2014/main" id="{A265BADA-C784-C8BB-9193-252EA6CCF353}"/>
            </a:ext>
          </a:extLst>
        </xdr:cNvPr>
        <xdr:cNvSpPr/>
      </xdr:nvSpPr>
      <xdr:spPr>
        <a:xfrm>
          <a:off x="104036" y="5823450"/>
          <a:ext cx="1330899" cy="681121"/>
        </a:xfrm>
        <a:prstGeom prst="roundRect">
          <a:avLst>
            <a:gd name="adj" fmla="val 42726"/>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clientData/>
  </xdr:twoCellAnchor>
  <xdr:twoCellAnchor>
    <xdr:from>
      <xdr:col>3</xdr:col>
      <xdr:colOff>543099</xdr:colOff>
      <xdr:row>8</xdr:row>
      <xdr:rowOff>26831</xdr:rowOff>
    </xdr:from>
    <xdr:to>
      <xdr:col>8</xdr:col>
      <xdr:colOff>340263</xdr:colOff>
      <xdr:row>13</xdr:row>
      <xdr:rowOff>40246</xdr:rowOff>
    </xdr:to>
    <xdr:sp macro="" textlink="">
      <xdr:nvSpPr>
        <xdr:cNvPr id="33" name="Rectangle: Rounded Corners 32">
          <a:extLst>
            <a:ext uri="{FF2B5EF4-FFF2-40B4-BE49-F238E27FC236}">
              <a16:creationId xmlns:a16="http://schemas.microsoft.com/office/drawing/2014/main" id="{B84B6D31-EB4C-8A52-A550-13E826D5775A}"/>
            </a:ext>
          </a:extLst>
        </xdr:cNvPr>
        <xdr:cNvSpPr/>
      </xdr:nvSpPr>
      <xdr:spPr>
        <a:xfrm>
          <a:off x="1903813" y="1399915"/>
          <a:ext cx="2827846" cy="941175"/>
        </a:xfrm>
        <a:prstGeom prst="roundRect">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569402</xdr:colOff>
      <xdr:row>8</xdr:row>
      <xdr:rowOff>1</xdr:rowOff>
    </xdr:from>
    <xdr:to>
      <xdr:col>13</xdr:col>
      <xdr:colOff>508249</xdr:colOff>
      <xdr:row>13</xdr:row>
      <xdr:rowOff>0</xdr:rowOff>
    </xdr:to>
    <xdr:sp macro="" textlink="">
      <xdr:nvSpPr>
        <xdr:cNvPr id="34" name="Rectangle: Rounded Corners 33">
          <a:extLst>
            <a:ext uri="{FF2B5EF4-FFF2-40B4-BE49-F238E27FC236}">
              <a16:creationId xmlns:a16="http://schemas.microsoft.com/office/drawing/2014/main" id="{10DBCD8D-D74D-165C-F5D1-550701167F76}"/>
            </a:ext>
          </a:extLst>
        </xdr:cNvPr>
        <xdr:cNvSpPr/>
      </xdr:nvSpPr>
      <xdr:spPr>
        <a:xfrm>
          <a:off x="4960798" y="1373085"/>
          <a:ext cx="2969529" cy="927759"/>
        </a:xfrm>
        <a:prstGeom prst="roundRect">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140307</xdr:colOff>
      <xdr:row>8</xdr:row>
      <xdr:rowOff>9279</xdr:rowOff>
    </xdr:from>
    <xdr:to>
      <xdr:col>18</xdr:col>
      <xdr:colOff>123701</xdr:colOff>
      <xdr:row>12</xdr:row>
      <xdr:rowOff>172931</xdr:rowOff>
    </xdr:to>
    <xdr:sp macro="" textlink="">
      <xdr:nvSpPr>
        <xdr:cNvPr id="35" name="Rectangle: Rounded Corners 34">
          <a:extLst>
            <a:ext uri="{FF2B5EF4-FFF2-40B4-BE49-F238E27FC236}">
              <a16:creationId xmlns:a16="http://schemas.microsoft.com/office/drawing/2014/main" id="{8FEA1499-AEDC-45C3-EE9C-697BB6110E60}"/>
            </a:ext>
          </a:extLst>
        </xdr:cNvPr>
        <xdr:cNvSpPr/>
      </xdr:nvSpPr>
      <xdr:spPr>
        <a:xfrm>
          <a:off x="8168521" y="1382363"/>
          <a:ext cx="2407940" cy="905860"/>
        </a:xfrm>
        <a:prstGeom prst="roundRect">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220920</xdr:colOff>
      <xdr:row>13</xdr:row>
      <xdr:rowOff>107952</xdr:rowOff>
    </xdr:from>
    <xdr:to>
      <xdr:col>15</xdr:col>
      <xdr:colOff>317219</xdr:colOff>
      <xdr:row>24</xdr:row>
      <xdr:rowOff>156575</xdr:rowOff>
    </xdr:to>
    <xdr:sp macro="" textlink="">
      <xdr:nvSpPr>
        <xdr:cNvPr id="36" name="Rectangle: Rounded Corners 35">
          <a:extLst>
            <a:ext uri="{FF2B5EF4-FFF2-40B4-BE49-F238E27FC236}">
              <a16:creationId xmlns:a16="http://schemas.microsoft.com/office/drawing/2014/main" id="{283E6983-9647-F877-D57D-5C0375899881}"/>
            </a:ext>
          </a:extLst>
        </xdr:cNvPr>
        <xdr:cNvSpPr/>
      </xdr:nvSpPr>
      <xdr:spPr>
        <a:xfrm>
          <a:off x="5824589" y="2408796"/>
          <a:ext cx="3126981" cy="2089695"/>
        </a:xfrm>
        <a:prstGeom prst="roundRect">
          <a:avLst>
            <a:gd name="adj" fmla="val 3573"/>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389169</xdr:colOff>
      <xdr:row>25</xdr:row>
      <xdr:rowOff>117431</xdr:rowOff>
    </xdr:from>
    <xdr:to>
      <xdr:col>14</xdr:col>
      <xdr:colOff>91335</xdr:colOff>
      <xdr:row>36</xdr:row>
      <xdr:rowOff>17200</xdr:rowOff>
    </xdr:to>
    <xdr:sp macro="" textlink="">
      <xdr:nvSpPr>
        <xdr:cNvPr id="37" name="Rectangle: Rounded Corners 36">
          <a:extLst>
            <a:ext uri="{FF2B5EF4-FFF2-40B4-BE49-F238E27FC236}">
              <a16:creationId xmlns:a16="http://schemas.microsoft.com/office/drawing/2014/main" id="{A4E64828-5235-340B-55F6-04E0A2E97766}"/>
            </a:ext>
          </a:extLst>
        </xdr:cNvPr>
        <xdr:cNvSpPr/>
      </xdr:nvSpPr>
      <xdr:spPr>
        <a:xfrm>
          <a:off x="1772251" y="4892979"/>
          <a:ext cx="6447954" cy="2052680"/>
        </a:xfrm>
        <a:prstGeom prst="roundRect">
          <a:avLst>
            <a:gd name="adj" fmla="val 10174"/>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375755</xdr:colOff>
      <xdr:row>13</xdr:row>
      <xdr:rowOff>146835</xdr:rowOff>
    </xdr:from>
    <xdr:to>
      <xdr:col>10</xdr:col>
      <xdr:colOff>104542</xdr:colOff>
      <xdr:row>25</xdr:row>
      <xdr:rowOff>13048</xdr:rowOff>
    </xdr:to>
    <xdr:sp macro="" textlink="">
      <xdr:nvSpPr>
        <xdr:cNvPr id="38" name="Rectangle: Rounded Corners 37">
          <a:extLst>
            <a:ext uri="{FF2B5EF4-FFF2-40B4-BE49-F238E27FC236}">
              <a16:creationId xmlns:a16="http://schemas.microsoft.com/office/drawing/2014/main" id="{F61C8E20-146D-30A6-C385-337DCD86EB0E}"/>
            </a:ext>
          </a:extLst>
        </xdr:cNvPr>
        <xdr:cNvSpPr/>
      </xdr:nvSpPr>
      <xdr:spPr>
        <a:xfrm>
          <a:off x="1758837" y="2573753"/>
          <a:ext cx="4021561" cy="2214843"/>
        </a:xfrm>
        <a:prstGeom prst="roundRect">
          <a:avLst>
            <a:gd name="adj" fmla="val 3573"/>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395844</xdr:colOff>
      <xdr:row>13</xdr:row>
      <xdr:rowOff>138468</xdr:rowOff>
    </xdr:from>
    <xdr:to>
      <xdr:col>19</xdr:col>
      <xdr:colOff>222662</xdr:colOff>
      <xdr:row>24</xdr:row>
      <xdr:rowOff>169623</xdr:rowOff>
    </xdr:to>
    <xdr:sp macro="" textlink="">
      <xdr:nvSpPr>
        <xdr:cNvPr id="39" name="Rectangle: Rounded Corners 38">
          <a:extLst>
            <a:ext uri="{FF2B5EF4-FFF2-40B4-BE49-F238E27FC236}">
              <a16:creationId xmlns:a16="http://schemas.microsoft.com/office/drawing/2014/main" id="{F5D67687-AFF6-C780-DD37-B317988125E2}"/>
            </a:ext>
          </a:extLst>
        </xdr:cNvPr>
        <xdr:cNvSpPr/>
      </xdr:nvSpPr>
      <xdr:spPr>
        <a:xfrm>
          <a:off x="9030195" y="2439312"/>
          <a:ext cx="2251363" cy="2072227"/>
        </a:xfrm>
        <a:prstGeom prst="roundRect">
          <a:avLst>
            <a:gd name="adj" fmla="val 3573"/>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182671</xdr:colOff>
      <xdr:row>25</xdr:row>
      <xdr:rowOff>91336</xdr:rowOff>
    </xdr:from>
    <xdr:to>
      <xdr:col>19</xdr:col>
      <xdr:colOff>195720</xdr:colOff>
      <xdr:row>36</xdr:row>
      <xdr:rowOff>615</xdr:rowOff>
    </xdr:to>
    <xdr:sp macro="" textlink="">
      <xdr:nvSpPr>
        <xdr:cNvPr id="40" name="Rectangle: Rounded Corners 39">
          <a:extLst>
            <a:ext uri="{FF2B5EF4-FFF2-40B4-BE49-F238E27FC236}">
              <a16:creationId xmlns:a16="http://schemas.microsoft.com/office/drawing/2014/main" id="{3FEE7DD1-F5FE-BAE2-E191-409215936BCF}"/>
            </a:ext>
          </a:extLst>
        </xdr:cNvPr>
        <xdr:cNvSpPr/>
      </xdr:nvSpPr>
      <xdr:spPr>
        <a:xfrm>
          <a:off x="8311541" y="4866884"/>
          <a:ext cx="3079316" cy="2062190"/>
        </a:xfrm>
        <a:prstGeom prst="roundRect">
          <a:avLst>
            <a:gd name="adj" fmla="val 3573"/>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22</xdr:col>
      <xdr:colOff>263910</xdr:colOff>
      <xdr:row>8</xdr:row>
      <xdr:rowOff>153824</xdr:rowOff>
    </xdr:from>
    <xdr:to>
      <xdr:col>24</xdr:col>
      <xdr:colOff>61918</xdr:colOff>
      <xdr:row>16</xdr:row>
      <xdr:rowOff>153132</xdr:rowOff>
    </xdr:to>
    <xdr:sp macro="" textlink="">
      <xdr:nvSpPr>
        <xdr:cNvPr id="42" name="Arrow: Pentagon 41">
          <a:extLst>
            <a:ext uri="{FF2B5EF4-FFF2-40B4-BE49-F238E27FC236}">
              <a16:creationId xmlns:a16="http://schemas.microsoft.com/office/drawing/2014/main" id="{640A5DB9-D141-3046-2D25-8051B2C81C15}"/>
            </a:ext>
          </a:extLst>
        </xdr:cNvPr>
        <xdr:cNvSpPr/>
      </xdr:nvSpPr>
      <xdr:spPr>
        <a:xfrm rot="5400000">
          <a:off x="12904494" y="1763629"/>
          <a:ext cx="1483724" cy="1010281"/>
        </a:xfrm>
        <a:prstGeom prst="homePlate">
          <a:avLst>
            <a:gd name="adj" fmla="val 38395"/>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260959</xdr:colOff>
      <xdr:row>18</xdr:row>
      <xdr:rowOff>123701</xdr:rowOff>
    </xdr:from>
    <xdr:to>
      <xdr:col>24</xdr:col>
      <xdr:colOff>215900</xdr:colOff>
      <xdr:row>35</xdr:row>
      <xdr:rowOff>156900</xdr:rowOff>
    </xdr:to>
    <xdr:sp macro="" textlink="">
      <xdr:nvSpPr>
        <xdr:cNvPr id="43" name="Rectangle: Rounded Corners 42">
          <a:extLst>
            <a:ext uri="{FF2B5EF4-FFF2-40B4-BE49-F238E27FC236}">
              <a16:creationId xmlns:a16="http://schemas.microsoft.com/office/drawing/2014/main" id="{C0B5A37D-AC20-A6D6-DCB9-F2B4FD51A506}"/>
            </a:ext>
          </a:extLst>
        </xdr:cNvPr>
        <xdr:cNvSpPr/>
      </xdr:nvSpPr>
      <xdr:spPr>
        <a:xfrm>
          <a:off x="11319855" y="3352305"/>
          <a:ext cx="2985623" cy="3187582"/>
        </a:xfrm>
        <a:prstGeom prst="roundRect">
          <a:avLst>
            <a:gd name="adj" fmla="val 3573"/>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22</xdr:col>
      <xdr:colOff>124918</xdr:colOff>
      <xdr:row>8</xdr:row>
      <xdr:rowOff>49480</xdr:rowOff>
    </xdr:from>
    <xdr:to>
      <xdr:col>24</xdr:col>
      <xdr:colOff>178971</xdr:colOff>
      <xdr:row>9</xdr:row>
      <xdr:rowOff>53861</xdr:rowOff>
    </xdr:to>
    <xdr:sp macro="" textlink="">
      <xdr:nvSpPr>
        <xdr:cNvPr id="45" name="Trapezoid 44">
          <a:extLst>
            <a:ext uri="{FF2B5EF4-FFF2-40B4-BE49-F238E27FC236}">
              <a16:creationId xmlns:a16="http://schemas.microsoft.com/office/drawing/2014/main" id="{DB7974DA-EFB5-26ED-4605-205E4BD1D6E4}"/>
            </a:ext>
          </a:extLst>
        </xdr:cNvPr>
        <xdr:cNvSpPr/>
      </xdr:nvSpPr>
      <xdr:spPr>
        <a:xfrm>
          <a:off x="13002223" y="1422564"/>
          <a:ext cx="1266326" cy="189933"/>
        </a:xfrm>
        <a:prstGeom prst="trapezoid">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419880</xdr:colOff>
      <xdr:row>15</xdr:row>
      <xdr:rowOff>117432</xdr:rowOff>
    </xdr:from>
    <xdr:to>
      <xdr:col>10</xdr:col>
      <xdr:colOff>104384</xdr:colOff>
      <xdr:row>15</xdr:row>
      <xdr:rowOff>123662</xdr:rowOff>
    </xdr:to>
    <xdr:cxnSp macro="">
      <xdr:nvCxnSpPr>
        <xdr:cNvPr id="46" name="Straight Connector 45">
          <a:extLst>
            <a:ext uri="{FF2B5EF4-FFF2-40B4-BE49-F238E27FC236}">
              <a16:creationId xmlns:a16="http://schemas.microsoft.com/office/drawing/2014/main" id="{D17D4D31-414C-B2ED-8BC5-0596AFBC0EE7}"/>
            </a:ext>
          </a:extLst>
        </xdr:cNvPr>
        <xdr:cNvCxnSpPr>
          <a:cxnSpLocks/>
        </xdr:cNvCxnSpPr>
      </xdr:nvCxnSpPr>
      <xdr:spPr>
        <a:xfrm flipV="1">
          <a:off x="1802962" y="2935788"/>
          <a:ext cx="3977278" cy="6230"/>
        </a:xfrm>
        <a:prstGeom prst="line">
          <a:avLst/>
        </a:prstGeom>
        <a:ln>
          <a:solidFill>
            <a:schemeClr val="accent3">
              <a:lumMod val="40000"/>
              <a:lumOff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197922</xdr:colOff>
      <xdr:row>15</xdr:row>
      <xdr:rowOff>24740</xdr:rowOff>
    </xdr:from>
    <xdr:to>
      <xdr:col>15</xdr:col>
      <xdr:colOff>321623</xdr:colOff>
      <xdr:row>15</xdr:row>
      <xdr:rowOff>37110</xdr:rowOff>
    </xdr:to>
    <xdr:cxnSp macro="">
      <xdr:nvCxnSpPr>
        <xdr:cNvPr id="47" name="Straight Connector 46">
          <a:extLst>
            <a:ext uri="{FF2B5EF4-FFF2-40B4-BE49-F238E27FC236}">
              <a16:creationId xmlns:a16="http://schemas.microsoft.com/office/drawing/2014/main" id="{B353A66F-AEE4-F094-004F-3ECEE23056BE}"/>
            </a:ext>
          </a:extLst>
        </xdr:cNvPr>
        <xdr:cNvCxnSpPr>
          <a:cxnSpLocks/>
        </xdr:cNvCxnSpPr>
      </xdr:nvCxnSpPr>
      <xdr:spPr>
        <a:xfrm>
          <a:off x="5801591" y="2696688"/>
          <a:ext cx="3154383" cy="12370"/>
        </a:xfrm>
        <a:prstGeom prst="line">
          <a:avLst/>
        </a:prstGeom>
        <a:ln>
          <a:solidFill>
            <a:schemeClr val="accent3">
              <a:lumMod val="60000"/>
              <a:lumOff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539886</xdr:colOff>
      <xdr:row>15</xdr:row>
      <xdr:rowOff>126097</xdr:rowOff>
    </xdr:from>
    <xdr:to>
      <xdr:col>19</xdr:col>
      <xdr:colOff>130479</xdr:colOff>
      <xdr:row>15</xdr:row>
      <xdr:rowOff>130480</xdr:rowOff>
    </xdr:to>
    <xdr:cxnSp macro="">
      <xdr:nvCxnSpPr>
        <xdr:cNvPr id="48" name="Straight Connector 47">
          <a:extLst>
            <a:ext uri="{FF2B5EF4-FFF2-40B4-BE49-F238E27FC236}">
              <a16:creationId xmlns:a16="http://schemas.microsoft.com/office/drawing/2014/main" id="{E8FDE277-D246-0008-63D5-8DE6C8C46E7F}"/>
            </a:ext>
          </a:extLst>
        </xdr:cNvPr>
        <xdr:cNvCxnSpPr>
          <a:cxnSpLocks/>
        </xdr:cNvCxnSpPr>
      </xdr:nvCxnSpPr>
      <xdr:spPr>
        <a:xfrm>
          <a:off x="9282009" y="2944453"/>
          <a:ext cx="2043607" cy="4383"/>
        </a:xfrm>
        <a:prstGeom prst="line">
          <a:avLst/>
        </a:prstGeom>
        <a:ln>
          <a:solidFill>
            <a:schemeClr val="accent3">
              <a:lumMod val="60000"/>
              <a:lumOff val="4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430621</xdr:colOff>
      <xdr:row>27</xdr:row>
      <xdr:rowOff>98961</xdr:rowOff>
    </xdr:from>
    <xdr:to>
      <xdr:col>14</xdr:col>
      <xdr:colOff>49481</xdr:colOff>
      <xdr:row>27</xdr:row>
      <xdr:rowOff>102010</xdr:rowOff>
    </xdr:to>
    <xdr:cxnSp macro="">
      <xdr:nvCxnSpPr>
        <xdr:cNvPr id="49" name="Straight Connector 48">
          <a:extLst>
            <a:ext uri="{FF2B5EF4-FFF2-40B4-BE49-F238E27FC236}">
              <a16:creationId xmlns:a16="http://schemas.microsoft.com/office/drawing/2014/main" id="{06E3186C-4382-B771-521A-FC5CFDB64A87}"/>
            </a:ext>
          </a:extLst>
        </xdr:cNvPr>
        <xdr:cNvCxnSpPr>
          <a:cxnSpLocks/>
        </xdr:cNvCxnSpPr>
      </xdr:nvCxnSpPr>
      <xdr:spPr>
        <a:xfrm flipV="1">
          <a:off x="1791335" y="4997532"/>
          <a:ext cx="6286360" cy="3049"/>
        </a:xfrm>
        <a:prstGeom prst="line">
          <a:avLst/>
        </a:prstGeom>
        <a:ln>
          <a:solidFill>
            <a:schemeClr val="accent3">
              <a:lumMod val="40000"/>
              <a:lumOff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247911</xdr:colOff>
      <xdr:row>27</xdr:row>
      <xdr:rowOff>26096</xdr:rowOff>
    </xdr:from>
    <xdr:to>
      <xdr:col>19</xdr:col>
      <xdr:colOff>117431</xdr:colOff>
      <xdr:row>27</xdr:row>
      <xdr:rowOff>39144</xdr:rowOff>
    </xdr:to>
    <xdr:cxnSp macro="">
      <xdr:nvCxnSpPr>
        <xdr:cNvPr id="50" name="Straight Connector 49">
          <a:extLst>
            <a:ext uri="{FF2B5EF4-FFF2-40B4-BE49-F238E27FC236}">
              <a16:creationId xmlns:a16="http://schemas.microsoft.com/office/drawing/2014/main" id="{D07FFFAD-8EC0-36C9-7A88-9038D16B1696}"/>
            </a:ext>
          </a:extLst>
        </xdr:cNvPr>
        <xdr:cNvCxnSpPr>
          <a:cxnSpLocks/>
        </xdr:cNvCxnSpPr>
      </xdr:nvCxnSpPr>
      <xdr:spPr>
        <a:xfrm>
          <a:off x="8376781" y="5193082"/>
          <a:ext cx="2935787" cy="13048"/>
        </a:xfrm>
        <a:prstGeom prst="line">
          <a:avLst/>
        </a:prstGeom>
        <a:ln>
          <a:solidFill>
            <a:schemeClr val="accent3">
              <a:lumMod val="40000"/>
              <a:lumOff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276101</xdr:colOff>
      <xdr:row>20</xdr:row>
      <xdr:rowOff>103579</xdr:rowOff>
    </xdr:from>
    <xdr:to>
      <xdr:col>24</xdr:col>
      <xdr:colOff>210292</xdr:colOff>
      <xdr:row>20</xdr:row>
      <xdr:rowOff>123701</xdr:rowOff>
    </xdr:to>
    <xdr:cxnSp macro="">
      <xdr:nvCxnSpPr>
        <xdr:cNvPr id="51" name="Straight Connector 50">
          <a:extLst>
            <a:ext uri="{FF2B5EF4-FFF2-40B4-BE49-F238E27FC236}">
              <a16:creationId xmlns:a16="http://schemas.microsoft.com/office/drawing/2014/main" id="{A7746045-10E9-61FE-12C9-E5A75F0C4058}"/>
            </a:ext>
          </a:extLst>
        </xdr:cNvPr>
        <xdr:cNvCxnSpPr>
          <a:cxnSpLocks/>
        </xdr:cNvCxnSpPr>
      </xdr:nvCxnSpPr>
      <xdr:spPr>
        <a:xfrm>
          <a:off x="11334997" y="3703287"/>
          <a:ext cx="2964873" cy="20122"/>
        </a:xfrm>
        <a:prstGeom prst="line">
          <a:avLst/>
        </a:prstGeom>
        <a:ln>
          <a:solidFill>
            <a:schemeClr val="accent3">
              <a:lumMod val="40000"/>
              <a:lumOff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12</xdr:col>
      <xdr:colOff>240850</xdr:colOff>
      <xdr:row>8</xdr:row>
      <xdr:rowOff>160986</xdr:rowOff>
    </xdr:from>
    <xdr:to>
      <xdr:col>13</xdr:col>
      <xdr:colOff>435041</xdr:colOff>
      <xdr:row>12</xdr:row>
      <xdr:rowOff>93908</xdr:rowOff>
    </xdr:to>
    <xdr:pic>
      <xdr:nvPicPr>
        <xdr:cNvPr id="65" name="Graphic 64" descr="Bar graph with upward trend with solid fill">
          <a:extLst>
            <a:ext uri="{FF2B5EF4-FFF2-40B4-BE49-F238E27FC236}">
              <a16:creationId xmlns:a16="http://schemas.microsoft.com/office/drawing/2014/main" id="{68EAF688-D4F1-BC1B-1122-14488EF71D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56792" y="1534070"/>
          <a:ext cx="800327" cy="675130"/>
        </a:xfrm>
        <a:prstGeom prst="rect">
          <a:avLst/>
        </a:prstGeom>
      </xdr:spPr>
    </xdr:pic>
    <xdr:clientData/>
  </xdr:twoCellAnchor>
  <xdr:twoCellAnchor editAs="oneCell">
    <xdr:from>
      <xdr:col>1</xdr:col>
      <xdr:colOff>76200</xdr:colOff>
      <xdr:row>2</xdr:row>
      <xdr:rowOff>152400</xdr:rowOff>
    </xdr:from>
    <xdr:to>
      <xdr:col>2</xdr:col>
      <xdr:colOff>177800</xdr:colOff>
      <xdr:row>6</xdr:row>
      <xdr:rowOff>63500</xdr:rowOff>
    </xdr:to>
    <xdr:pic>
      <xdr:nvPicPr>
        <xdr:cNvPr id="67" name="Graphic 66" descr="Presentation with bar chart with solid fill">
          <a:extLst>
            <a:ext uri="{FF2B5EF4-FFF2-40B4-BE49-F238E27FC236}">
              <a16:creationId xmlns:a16="http://schemas.microsoft.com/office/drawing/2014/main" id="{8D24C020-16FA-07CD-F96C-7A4AA48359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0" y="419100"/>
          <a:ext cx="711200" cy="673100"/>
        </a:xfrm>
        <a:prstGeom prst="rect">
          <a:avLst/>
        </a:prstGeom>
      </xdr:spPr>
    </xdr:pic>
    <xdr:clientData/>
  </xdr:twoCellAnchor>
  <xdr:oneCellAnchor>
    <xdr:from>
      <xdr:col>2</xdr:col>
      <xdr:colOff>266700</xdr:colOff>
      <xdr:row>2</xdr:row>
      <xdr:rowOff>88900</xdr:rowOff>
    </xdr:from>
    <xdr:ext cx="4127500" cy="952500"/>
    <xdr:sp macro="" textlink="">
      <xdr:nvSpPr>
        <xdr:cNvPr id="70" name="TextBox 69">
          <a:extLst>
            <a:ext uri="{FF2B5EF4-FFF2-40B4-BE49-F238E27FC236}">
              <a16:creationId xmlns:a16="http://schemas.microsoft.com/office/drawing/2014/main" id="{E80E5E57-7C53-433A-B44D-A04D77219756}"/>
            </a:ext>
          </a:extLst>
        </xdr:cNvPr>
        <xdr:cNvSpPr txBox="1"/>
      </xdr:nvSpPr>
      <xdr:spPr>
        <a:xfrm>
          <a:off x="1028700" y="355600"/>
          <a:ext cx="4127500"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chemeClr val="bg1"/>
              </a:solidFill>
              <a:latin typeface="Segoe UI" panose="020B0502040204020203" pitchFamily="34" charset="0"/>
              <a:cs typeface="Segoe UI" panose="020B0502040204020203" pitchFamily="34" charset="0"/>
            </a:rPr>
            <a:t>SALES</a:t>
          </a:r>
          <a:r>
            <a:rPr lang="en-IN" sz="3200" b="1" baseline="0">
              <a:solidFill>
                <a:schemeClr val="bg1"/>
              </a:solidFill>
              <a:latin typeface="Segoe UI" panose="020B0502040204020203" pitchFamily="34" charset="0"/>
              <a:cs typeface="Segoe UI" panose="020B0502040204020203" pitchFamily="34" charset="0"/>
            </a:rPr>
            <a:t> DASHBOARD</a:t>
          </a:r>
        </a:p>
        <a:p>
          <a:endParaRPr lang="en-IN" sz="1800" b="1">
            <a:solidFill>
              <a:srgbClr val="FFFF00"/>
            </a:solidFill>
            <a:latin typeface="Segoe UI" panose="020B0502040204020203" pitchFamily="34" charset="0"/>
            <a:cs typeface="Segoe UI" panose="020B0502040204020203" pitchFamily="34" charset="0"/>
          </a:endParaRPr>
        </a:p>
      </xdr:txBody>
    </xdr:sp>
    <xdr:clientData/>
  </xdr:oneCellAnchor>
  <xdr:oneCellAnchor>
    <xdr:from>
      <xdr:col>3</xdr:col>
      <xdr:colOff>529682</xdr:colOff>
      <xdr:row>8</xdr:row>
      <xdr:rowOff>53662</xdr:rowOff>
    </xdr:from>
    <xdr:ext cx="1635087" cy="342900"/>
    <xdr:sp macro="" textlink="">
      <xdr:nvSpPr>
        <xdr:cNvPr id="74" name="TextBox 73">
          <a:extLst>
            <a:ext uri="{FF2B5EF4-FFF2-40B4-BE49-F238E27FC236}">
              <a16:creationId xmlns:a16="http://schemas.microsoft.com/office/drawing/2014/main" id="{59032C6E-00C0-4F36-B806-2236100D5838}"/>
            </a:ext>
          </a:extLst>
        </xdr:cNvPr>
        <xdr:cNvSpPr txBox="1"/>
      </xdr:nvSpPr>
      <xdr:spPr>
        <a:xfrm>
          <a:off x="1890396" y="1426746"/>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rgbClr val="FFFF00"/>
              </a:solidFill>
              <a:latin typeface="Segoe UI" panose="020B0502040204020203" pitchFamily="34" charset="0"/>
              <a:cs typeface="Segoe UI" panose="020B0502040204020203" pitchFamily="34" charset="0"/>
            </a:rPr>
            <a:t>TOTAL</a:t>
          </a:r>
          <a:r>
            <a:rPr lang="en-IN" sz="1800" b="1" baseline="0">
              <a:solidFill>
                <a:srgbClr val="FFFF00"/>
              </a:solidFill>
              <a:latin typeface="Segoe UI" panose="020B0502040204020203" pitchFamily="34" charset="0"/>
              <a:cs typeface="Segoe UI" panose="020B0502040204020203" pitchFamily="34" charset="0"/>
            </a:rPr>
            <a:t> SALES</a:t>
          </a:r>
          <a:endParaRPr lang="en-IN" sz="1800" b="1">
            <a:solidFill>
              <a:srgbClr val="FFFF00"/>
            </a:solidFill>
            <a:latin typeface="Segoe UI" panose="020B0502040204020203" pitchFamily="34" charset="0"/>
            <a:cs typeface="Segoe UI" panose="020B0502040204020203" pitchFamily="34" charset="0"/>
          </a:endParaRPr>
        </a:p>
      </xdr:txBody>
    </xdr:sp>
    <xdr:clientData/>
  </xdr:oneCellAnchor>
  <xdr:oneCellAnchor>
    <xdr:from>
      <xdr:col>8</xdr:col>
      <xdr:colOff>558083</xdr:colOff>
      <xdr:row>8</xdr:row>
      <xdr:rowOff>40247</xdr:rowOff>
    </xdr:from>
    <xdr:ext cx="1635087" cy="342900"/>
    <xdr:sp macro="" textlink="">
      <xdr:nvSpPr>
        <xdr:cNvPr id="76" name="TextBox 75">
          <a:extLst>
            <a:ext uri="{FF2B5EF4-FFF2-40B4-BE49-F238E27FC236}">
              <a16:creationId xmlns:a16="http://schemas.microsoft.com/office/drawing/2014/main" id="{79D2D2CC-3E2A-49DC-8EFF-B5D6DDAAD1D0}"/>
            </a:ext>
          </a:extLst>
        </xdr:cNvPr>
        <xdr:cNvSpPr txBox="1"/>
      </xdr:nvSpPr>
      <xdr:spPr>
        <a:xfrm>
          <a:off x="4949479" y="1413331"/>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rgbClr val="FFFF00"/>
              </a:solidFill>
              <a:latin typeface="Segoe UI" panose="020B0502040204020203" pitchFamily="34" charset="0"/>
              <a:cs typeface="Segoe UI" panose="020B0502040204020203" pitchFamily="34" charset="0"/>
            </a:rPr>
            <a:t>TOTAL</a:t>
          </a:r>
          <a:r>
            <a:rPr lang="en-IN" sz="1800" b="1" baseline="0">
              <a:solidFill>
                <a:srgbClr val="FFFF00"/>
              </a:solidFill>
              <a:latin typeface="Segoe UI" panose="020B0502040204020203" pitchFamily="34" charset="0"/>
              <a:cs typeface="Segoe UI" panose="020B0502040204020203" pitchFamily="34" charset="0"/>
            </a:rPr>
            <a:t> PROFIT</a:t>
          </a:r>
          <a:endParaRPr lang="en-IN" sz="1800" b="1">
            <a:solidFill>
              <a:srgbClr val="FFFF00"/>
            </a:solidFill>
            <a:latin typeface="Segoe UI" panose="020B0502040204020203" pitchFamily="34" charset="0"/>
            <a:cs typeface="Segoe UI" panose="020B0502040204020203" pitchFamily="34" charset="0"/>
          </a:endParaRPr>
        </a:p>
      </xdr:txBody>
    </xdr:sp>
    <xdr:clientData/>
  </xdr:oneCellAnchor>
  <xdr:twoCellAnchor editAs="oneCell">
    <xdr:from>
      <xdr:col>7</xdr:col>
      <xdr:colOff>150007</xdr:colOff>
      <xdr:row>8</xdr:row>
      <xdr:rowOff>147571</xdr:rowOff>
    </xdr:from>
    <xdr:to>
      <xdr:col>8</xdr:col>
      <xdr:colOff>328993</xdr:colOff>
      <xdr:row>12</xdr:row>
      <xdr:rowOff>80494</xdr:rowOff>
    </xdr:to>
    <xdr:pic>
      <xdr:nvPicPr>
        <xdr:cNvPr id="79" name="Graphic 78" descr="Money with solid fill">
          <a:extLst>
            <a:ext uri="{FF2B5EF4-FFF2-40B4-BE49-F238E27FC236}">
              <a16:creationId xmlns:a16="http://schemas.microsoft.com/office/drawing/2014/main" id="{A01ADD70-6521-9ED1-DF06-E8368C88476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35267" y="1520655"/>
          <a:ext cx="785122" cy="675131"/>
        </a:xfrm>
        <a:prstGeom prst="rect">
          <a:avLst/>
        </a:prstGeom>
      </xdr:spPr>
    </xdr:pic>
    <xdr:clientData/>
  </xdr:twoCellAnchor>
  <xdr:oneCellAnchor>
    <xdr:from>
      <xdr:col>4</xdr:col>
      <xdr:colOff>82930</xdr:colOff>
      <xdr:row>10</xdr:row>
      <xdr:rowOff>80492</xdr:rowOff>
    </xdr:from>
    <xdr:ext cx="1757428" cy="442711"/>
    <xdr:sp macro="" textlink="Analysis!E6">
      <xdr:nvSpPr>
        <xdr:cNvPr id="80" name="TextBox 79">
          <a:extLst>
            <a:ext uri="{FF2B5EF4-FFF2-40B4-BE49-F238E27FC236}">
              <a16:creationId xmlns:a16="http://schemas.microsoft.com/office/drawing/2014/main" id="{F9294565-8FC1-4948-8B70-D29A9A8F75B2}"/>
            </a:ext>
          </a:extLst>
        </xdr:cNvPr>
        <xdr:cNvSpPr txBox="1"/>
      </xdr:nvSpPr>
      <xdr:spPr>
        <a:xfrm>
          <a:off x="2049781" y="1824680"/>
          <a:ext cx="1757428" cy="442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8BAB795-786E-4B07-BBA3-223F5037A090}" type="TxLink">
            <a:rPr lang="en-US" sz="2000" b="1" i="0" u="none" strike="noStrike">
              <a:solidFill>
                <a:schemeClr val="bg1"/>
              </a:solidFill>
              <a:latin typeface="Segoe UI" panose="020B0502040204020203" pitchFamily="34" charset="0"/>
              <a:ea typeface="Calibri"/>
              <a:cs typeface="Segoe UI" panose="020B0502040204020203" pitchFamily="34" charset="0"/>
            </a:rPr>
            <a:pPr/>
            <a:t>$6,01,495</a:t>
          </a:fld>
          <a:endParaRPr lang="en-IN" sz="20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9</xdr:col>
      <xdr:colOff>112927</xdr:colOff>
      <xdr:row>10</xdr:row>
      <xdr:rowOff>53663</xdr:rowOff>
    </xdr:from>
    <xdr:ext cx="1513654" cy="342900"/>
    <xdr:sp macro="" textlink="Analysis!E7">
      <xdr:nvSpPr>
        <xdr:cNvPr id="81" name="TextBox 80">
          <a:extLst>
            <a:ext uri="{FF2B5EF4-FFF2-40B4-BE49-F238E27FC236}">
              <a16:creationId xmlns:a16="http://schemas.microsoft.com/office/drawing/2014/main" id="{33A76A55-8E78-4437-A1A4-AC512DFFA542}"/>
            </a:ext>
          </a:extLst>
        </xdr:cNvPr>
        <xdr:cNvSpPr txBox="1"/>
      </xdr:nvSpPr>
      <xdr:spPr>
        <a:xfrm>
          <a:off x="5110459" y="1797851"/>
          <a:ext cx="1513654"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69E5F61E-0EBE-47CE-A708-07351A82C20F}"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$65,780</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oneCellAnchor>
  <xdr:oneCellAnchor>
    <xdr:from>
      <xdr:col>14</xdr:col>
      <xdr:colOff>182759</xdr:colOff>
      <xdr:row>8</xdr:row>
      <xdr:rowOff>18651</xdr:rowOff>
    </xdr:from>
    <xdr:ext cx="1635087" cy="342900"/>
    <xdr:sp macro="" textlink="">
      <xdr:nvSpPr>
        <xdr:cNvPr id="82" name="TextBox 81">
          <a:extLst>
            <a:ext uri="{FF2B5EF4-FFF2-40B4-BE49-F238E27FC236}">
              <a16:creationId xmlns:a16="http://schemas.microsoft.com/office/drawing/2014/main" id="{86441F78-97F5-4907-A478-F2A99CFE4AAB}"/>
            </a:ext>
          </a:extLst>
        </xdr:cNvPr>
        <xdr:cNvSpPr txBox="1"/>
      </xdr:nvSpPr>
      <xdr:spPr>
        <a:xfrm>
          <a:off x="8210973" y="1391735"/>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baseline="0">
              <a:solidFill>
                <a:srgbClr val="FFFF00"/>
              </a:solidFill>
              <a:latin typeface="Segoe UI" panose="020B0502040204020203" pitchFamily="34" charset="0"/>
              <a:cs typeface="Segoe UI" panose="020B0502040204020203" pitchFamily="34" charset="0"/>
            </a:rPr>
            <a:t>PROFIT %</a:t>
          </a:r>
          <a:endParaRPr lang="en-IN" sz="1800" b="1">
            <a:solidFill>
              <a:srgbClr val="FFFF00"/>
            </a:solidFill>
            <a:latin typeface="Segoe UI" panose="020B0502040204020203" pitchFamily="34" charset="0"/>
            <a:cs typeface="Segoe UI" panose="020B0502040204020203" pitchFamily="34" charset="0"/>
          </a:endParaRPr>
        </a:p>
      </xdr:txBody>
    </xdr:sp>
    <xdr:clientData/>
  </xdr:oneCellAnchor>
  <xdr:oneCellAnchor>
    <xdr:from>
      <xdr:col>14</xdr:col>
      <xdr:colOff>263251</xdr:colOff>
      <xdr:row>10</xdr:row>
      <xdr:rowOff>18651</xdr:rowOff>
    </xdr:from>
    <xdr:ext cx="842672" cy="342900"/>
    <xdr:sp macro="" textlink="Analysis!E8">
      <xdr:nvSpPr>
        <xdr:cNvPr id="83" name="TextBox 82">
          <a:extLst>
            <a:ext uri="{FF2B5EF4-FFF2-40B4-BE49-F238E27FC236}">
              <a16:creationId xmlns:a16="http://schemas.microsoft.com/office/drawing/2014/main" id="{9ED091B7-0A5E-4B61-8586-907589461E8D}"/>
            </a:ext>
          </a:extLst>
        </xdr:cNvPr>
        <xdr:cNvSpPr txBox="1"/>
      </xdr:nvSpPr>
      <xdr:spPr>
        <a:xfrm>
          <a:off x="8291465" y="1762839"/>
          <a:ext cx="842672"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8B03F815-14C7-4FCF-9FF0-8F94598A35E9}"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12%</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oneCellAnchor>
  <xdr:twoCellAnchor editAs="oneCell">
    <xdr:from>
      <xdr:col>16</xdr:col>
      <xdr:colOff>446208</xdr:colOff>
      <xdr:row>8</xdr:row>
      <xdr:rowOff>63264</xdr:rowOff>
    </xdr:from>
    <xdr:to>
      <xdr:col>18</xdr:col>
      <xdr:colOff>160331</xdr:colOff>
      <xdr:row>12</xdr:row>
      <xdr:rowOff>119072</xdr:rowOff>
    </xdr:to>
    <xdr:pic>
      <xdr:nvPicPr>
        <xdr:cNvPr id="85" name="Graphic 84" descr="Piggy Bank with solid fill">
          <a:extLst>
            <a:ext uri="{FF2B5EF4-FFF2-40B4-BE49-F238E27FC236}">
              <a16:creationId xmlns:a16="http://schemas.microsoft.com/office/drawing/2014/main" id="{52E72F3D-E6D7-2317-5A95-42EDC6F4E5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86695" y="1436348"/>
          <a:ext cx="926396" cy="798016"/>
        </a:xfrm>
        <a:prstGeom prst="rect">
          <a:avLst/>
        </a:prstGeom>
      </xdr:spPr>
    </xdr:pic>
    <xdr:clientData/>
  </xdr:twoCellAnchor>
  <xdr:twoCellAnchor>
    <xdr:from>
      <xdr:col>3</xdr:col>
      <xdr:colOff>503813</xdr:colOff>
      <xdr:row>27</xdr:row>
      <xdr:rowOff>148616</xdr:rowOff>
    </xdr:from>
    <xdr:to>
      <xdr:col>13</xdr:col>
      <xdr:colOff>569026</xdr:colOff>
      <xdr:row>35</xdr:row>
      <xdr:rowOff>127754</xdr:rowOff>
    </xdr:to>
    <xdr:graphicFrame macro="">
      <xdr:nvGraphicFramePr>
        <xdr:cNvPr id="106" name="Chart 105">
          <a:extLst>
            <a:ext uri="{FF2B5EF4-FFF2-40B4-BE49-F238E27FC236}">
              <a16:creationId xmlns:a16="http://schemas.microsoft.com/office/drawing/2014/main" id="{7C31542E-07B7-42F1-932D-62C78D555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436698</xdr:colOff>
      <xdr:row>16</xdr:row>
      <xdr:rowOff>1715</xdr:rowOff>
    </xdr:from>
    <xdr:to>
      <xdr:col>10</xdr:col>
      <xdr:colOff>37711</xdr:colOff>
      <xdr:row>24</xdr:row>
      <xdr:rowOff>133907</xdr:rowOff>
    </xdr:to>
    <xdr:graphicFrame macro="">
      <xdr:nvGraphicFramePr>
        <xdr:cNvPr id="107" name="Chart 106">
          <a:extLst>
            <a:ext uri="{FF2B5EF4-FFF2-40B4-BE49-F238E27FC236}">
              <a16:creationId xmlns:a16="http://schemas.microsoft.com/office/drawing/2014/main" id="{DD0CBE8E-F78C-4C06-B3D4-71FABFB19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603927</xdr:colOff>
      <xdr:row>15</xdr:row>
      <xdr:rowOff>78288</xdr:rowOff>
    </xdr:from>
    <xdr:to>
      <xdr:col>15</xdr:col>
      <xdr:colOff>221814</xdr:colOff>
      <xdr:row>24</xdr:row>
      <xdr:rowOff>65239</xdr:rowOff>
    </xdr:to>
    <xdr:graphicFrame macro="">
      <xdr:nvGraphicFramePr>
        <xdr:cNvPr id="108" name="Chart 107">
          <a:extLst>
            <a:ext uri="{FF2B5EF4-FFF2-40B4-BE49-F238E27FC236}">
              <a16:creationId xmlns:a16="http://schemas.microsoft.com/office/drawing/2014/main" id="{36DE67DE-5EC5-4978-A839-A5D7C682D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371475</xdr:colOff>
          <xdr:row>15</xdr:row>
          <xdr:rowOff>66675</xdr:rowOff>
        </xdr:from>
        <xdr:to>
          <xdr:col>10</xdr:col>
          <xdr:colOff>571500</xdr:colOff>
          <xdr:row>24</xdr:row>
          <xdr:rowOff>76200</xdr:rowOff>
        </xdr:to>
        <xdr:sp macro="" textlink="">
          <xdr:nvSpPr>
            <xdr:cNvPr id="3075" name="Scroll Bar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xdr:col>
      <xdr:colOff>26096</xdr:colOff>
      <xdr:row>13</xdr:row>
      <xdr:rowOff>163918</xdr:rowOff>
    </xdr:from>
    <xdr:to>
      <xdr:col>3</xdr:col>
      <xdr:colOff>218877</xdr:colOff>
      <xdr:row>31</xdr:row>
      <xdr:rowOff>104383</xdr:rowOff>
    </xdr:to>
    <mc:AlternateContent xmlns:mc="http://schemas.openxmlformats.org/markup-compatibility/2006" xmlns:a14="http://schemas.microsoft.com/office/drawing/2010/main">
      <mc:Choice Requires="a14">
        <xdr:graphicFrame macro="">
          <xdr:nvGraphicFramePr>
            <xdr:cNvPr id="109" name="MONTH">
              <a:extLst>
                <a:ext uri="{FF2B5EF4-FFF2-40B4-BE49-F238E27FC236}">
                  <a16:creationId xmlns:a16="http://schemas.microsoft.com/office/drawing/2014/main" id="{45D89957-60A3-49FE-8C22-26623F52C1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4538" y="2464762"/>
              <a:ext cx="1405053" cy="328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185883</xdr:colOff>
      <xdr:row>8</xdr:row>
      <xdr:rowOff>0</xdr:rowOff>
    </xdr:from>
    <xdr:to>
      <xdr:col>3</xdr:col>
      <xdr:colOff>115060</xdr:colOff>
      <xdr:row>12</xdr:row>
      <xdr:rowOff>148442</xdr:rowOff>
    </xdr:to>
    <mc:AlternateContent xmlns:mc="http://schemas.openxmlformats.org/markup-compatibility/2006" xmlns:a14="http://schemas.microsoft.com/office/drawing/2010/main">
      <mc:Choice Requires="a14">
        <xdr:graphicFrame macro="">
          <xdr:nvGraphicFramePr>
            <xdr:cNvPr id="110" name="YEAR">
              <a:extLst>
                <a:ext uri="{FF2B5EF4-FFF2-40B4-BE49-F238E27FC236}">
                  <a16:creationId xmlns:a16="http://schemas.microsoft.com/office/drawing/2014/main" id="{887C1904-E95C-4BDA-8F1F-C441C98BE0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4325" y="1373084"/>
              <a:ext cx="1141449" cy="8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525307</xdr:colOff>
      <xdr:row>16</xdr:row>
      <xdr:rowOff>25419</xdr:rowOff>
    </xdr:from>
    <xdr:to>
      <xdr:col>19</xdr:col>
      <xdr:colOff>136071</xdr:colOff>
      <xdr:row>24</xdr:row>
      <xdr:rowOff>64560</xdr:rowOff>
    </xdr:to>
    <xdr:graphicFrame macro="">
      <xdr:nvGraphicFramePr>
        <xdr:cNvPr id="111" name="Chart 110">
          <a:extLst>
            <a:ext uri="{FF2B5EF4-FFF2-40B4-BE49-F238E27FC236}">
              <a16:creationId xmlns:a16="http://schemas.microsoft.com/office/drawing/2014/main" id="{4AA7FA28-F521-4C74-8626-18C9A9671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274007</xdr:colOff>
      <xdr:row>27</xdr:row>
      <xdr:rowOff>78288</xdr:rowOff>
    </xdr:from>
    <xdr:to>
      <xdr:col>19</xdr:col>
      <xdr:colOff>73729</xdr:colOff>
      <xdr:row>35</xdr:row>
      <xdr:rowOff>149542</xdr:rowOff>
    </xdr:to>
    <xdr:graphicFrame macro="">
      <xdr:nvGraphicFramePr>
        <xdr:cNvPr id="112" name="Chart 111">
          <a:extLst>
            <a:ext uri="{FF2B5EF4-FFF2-40B4-BE49-F238E27FC236}">
              <a16:creationId xmlns:a16="http://schemas.microsoft.com/office/drawing/2014/main" id="{517DC8D8-9367-4AF2-9E10-FDEC1A2AB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352295</xdr:colOff>
      <xdr:row>20</xdr:row>
      <xdr:rowOff>169623</xdr:rowOff>
    </xdr:from>
    <xdr:to>
      <xdr:col>24</xdr:col>
      <xdr:colOff>156575</xdr:colOff>
      <xdr:row>35</xdr:row>
      <xdr:rowOff>119262</xdr:rowOff>
    </xdr:to>
    <mc:AlternateContent xmlns:mc="http://schemas.openxmlformats.org/markup-compatibility/2006">
      <mc:Choice xmlns:cx1="http://schemas.microsoft.com/office/drawing/2015/9/8/chartex" Requires="cx1">
        <xdr:graphicFrame macro="">
          <xdr:nvGraphicFramePr>
            <xdr:cNvPr id="113" name="Chart 112">
              <a:extLst>
                <a:ext uri="{FF2B5EF4-FFF2-40B4-BE49-F238E27FC236}">
                  <a16:creationId xmlns:a16="http://schemas.microsoft.com/office/drawing/2014/main" id="{46C62C04-BDD4-41A6-B24E-465381810A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477495" y="3865323"/>
              <a:ext cx="2852280" cy="28071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407317</xdr:colOff>
      <xdr:row>2</xdr:row>
      <xdr:rowOff>80998</xdr:rowOff>
    </xdr:from>
    <xdr:to>
      <xdr:col>16</xdr:col>
      <xdr:colOff>101672</xdr:colOff>
      <xdr:row>6</xdr:row>
      <xdr:rowOff>-1</xdr:rowOff>
    </xdr:to>
    <mc:AlternateContent xmlns:mc="http://schemas.openxmlformats.org/markup-compatibility/2006" xmlns:a14="http://schemas.microsoft.com/office/drawing/2010/main">
      <mc:Choice Requires="a14">
        <xdr:graphicFrame macro="">
          <xdr:nvGraphicFramePr>
            <xdr:cNvPr id="114" name="Sale Type">
              <a:extLst>
                <a:ext uri="{FF2B5EF4-FFF2-40B4-BE49-F238E27FC236}">
                  <a16:creationId xmlns:a16="http://schemas.microsoft.com/office/drawing/2014/main" id="{D66C214E-CC03-4759-BAE9-9B0118EA0B45}"/>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6010986" y="340771"/>
              <a:ext cx="3331173" cy="661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4983</xdr:colOff>
      <xdr:row>2</xdr:row>
      <xdr:rowOff>83515</xdr:rowOff>
    </xdr:from>
    <xdr:to>
      <xdr:col>20</xdr:col>
      <xdr:colOff>139290</xdr:colOff>
      <xdr:row>5</xdr:row>
      <xdr:rowOff>160811</xdr:rowOff>
    </xdr:to>
    <mc:AlternateContent xmlns:mc="http://schemas.openxmlformats.org/markup-compatibility/2006" xmlns:a14="http://schemas.microsoft.com/office/drawing/2010/main">
      <mc:Choice Requires="a14">
        <xdr:graphicFrame macro="">
          <xdr:nvGraphicFramePr>
            <xdr:cNvPr id="115" name="Payment Mode">
              <a:extLst>
                <a:ext uri="{FF2B5EF4-FFF2-40B4-BE49-F238E27FC236}">
                  <a16:creationId xmlns:a16="http://schemas.microsoft.com/office/drawing/2014/main" id="{A09FD0CA-0B2E-4B7F-A4F2-8F54AB129D91}"/>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851606" y="343288"/>
              <a:ext cx="1952716" cy="633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185016</xdr:colOff>
      <xdr:row>13</xdr:row>
      <xdr:rowOff>110613</xdr:rowOff>
    </xdr:from>
    <xdr:ext cx="1635087" cy="342900"/>
    <xdr:sp macro="" textlink="">
      <xdr:nvSpPr>
        <xdr:cNvPr id="120" name="TextBox 119">
          <a:extLst>
            <a:ext uri="{FF2B5EF4-FFF2-40B4-BE49-F238E27FC236}">
              <a16:creationId xmlns:a16="http://schemas.microsoft.com/office/drawing/2014/main" id="{34E2BD3A-A10D-4D52-9B65-6869B92C8F2B}"/>
            </a:ext>
          </a:extLst>
        </xdr:cNvPr>
        <xdr:cNvSpPr txBox="1"/>
      </xdr:nvSpPr>
      <xdr:spPr>
        <a:xfrm>
          <a:off x="2181352" y="2537531"/>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chemeClr val="bg1"/>
              </a:solidFill>
              <a:latin typeface="Segoe UI" panose="020B0502040204020203" pitchFamily="34" charset="0"/>
              <a:cs typeface="Segoe UI" panose="020B0502040204020203" pitchFamily="34" charset="0"/>
            </a:rPr>
            <a:t>MONTHLY</a:t>
          </a:r>
        </a:p>
      </xdr:txBody>
    </xdr:sp>
    <xdr:clientData/>
  </xdr:oneCellAnchor>
  <xdr:oneCellAnchor>
    <xdr:from>
      <xdr:col>11</xdr:col>
      <xdr:colOff>600206</xdr:colOff>
      <xdr:row>13</xdr:row>
      <xdr:rowOff>52192</xdr:rowOff>
    </xdr:from>
    <xdr:ext cx="1635087" cy="342900"/>
    <xdr:sp macro="" textlink="">
      <xdr:nvSpPr>
        <xdr:cNvPr id="3072" name="TextBox 3071">
          <a:extLst>
            <a:ext uri="{FF2B5EF4-FFF2-40B4-BE49-F238E27FC236}">
              <a16:creationId xmlns:a16="http://schemas.microsoft.com/office/drawing/2014/main" id="{B555FDCF-9E83-4A09-8122-AA9EA0442FDE}"/>
            </a:ext>
          </a:extLst>
        </xdr:cNvPr>
        <xdr:cNvSpPr txBox="1"/>
      </xdr:nvSpPr>
      <xdr:spPr>
        <a:xfrm>
          <a:off x="6889316" y="2479110"/>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800" b="1">
              <a:solidFill>
                <a:schemeClr val="bg1"/>
              </a:solidFill>
              <a:latin typeface="Segoe UI" panose="020B0502040204020203" pitchFamily="34" charset="0"/>
              <a:ea typeface="+mn-ea"/>
              <a:cs typeface="Segoe UI" panose="020B0502040204020203" pitchFamily="34" charset="0"/>
            </a:rPr>
            <a:t>PRODUCT</a:t>
          </a:r>
        </a:p>
      </xdr:txBody>
    </xdr:sp>
    <xdr:clientData/>
  </xdr:oneCellAnchor>
  <xdr:oneCellAnchor>
    <xdr:from>
      <xdr:col>16</xdr:col>
      <xdr:colOff>313149</xdr:colOff>
      <xdr:row>13</xdr:row>
      <xdr:rowOff>138468</xdr:rowOff>
    </xdr:from>
    <xdr:ext cx="1635087" cy="342900"/>
    <xdr:sp macro="" textlink="">
      <xdr:nvSpPr>
        <xdr:cNvPr id="3079" name="TextBox 3078">
          <a:extLst>
            <a:ext uri="{FF2B5EF4-FFF2-40B4-BE49-F238E27FC236}">
              <a16:creationId xmlns:a16="http://schemas.microsoft.com/office/drawing/2014/main" id="{F422520F-B8B1-4974-B89C-1905D00A35BB}"/>
            </a:ext>
          </a:extLst>
        </xdr:cNvPr>
        <xdr:cNvSpPr txBox="1"/>
      </xdr:nvSpPr>
      <xdr:spPr>
        <a:xfrm>
          <a:off x="9668526" y="2565386"/>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800" b="1">
              <a:solidFill>
                <a:schemeClr val="bg1"/>
              </a:solidFill>
              <a:latin typeface="Segoe UI" panose="020B0502040204020203" pitchFamily="34" charset="0"/>
              <a:ea typeface="+mn-ea"/>
              <a:cs typeface="Segoe UI" panose="020B0502040204020203" pitchFamily="34" charset="0"/>
            </a:rPr>
            <a:t>SALES</a:t>
          </a:r>
          <a:r>
            <a:rPr lang="en-IN" sz="1800" b="1" baseline="0">
              <a:solidFill>
                <a:schemeClr val="bg1"/>
              </a:solidFill>
              <a:latin typeface="Segoe UI" panose="020B0502040204020203" pitchFamily="34" charset="0"/>
              <a:ea typeface="+mn-ea"/>
              <a:cs typeface="Segoe UI" panose="020B0502040204020203" pitchFamily="34" charset="0"/>
            </a:rPr>
            <a:t> TYPE</a:t>
          </a:r>
          <a:endParaRPr lang="en-IN" sz="1800" b="1">
            <a:solidFill>
              <a:schemeClr val="bg1"/>
            </a:solidFill>
            <a:latin typeface="Segoe UI" panose="020B0502040204020203" pitchFamily="34" charset="0"/>
            <a:ea typeface="+mn-ea"/>
            <a:cs typeface="Segoe UI" panose="020B0502040204020203" pitchFamily="34" charset="0"/>
          </a:endParaRPr>
        </a:p>
      </xdr:txBody>
    </xdr:sp>
    <xdr:clientData/>
  </xdr:oneCellAnchor>
  <xdr:oneCellAnchor>
    <xdr:from>
      <xdr:col>5</xdr:col>
      <xdr:colOff>102115</xdr:colOff>
      <xdr:row>25</xdr:row>
      <xdr:rowOff>130479</xdr:rowOff>
    </xdr:from>
    <xdr:ext cx="1635087" cy="342900"/>
    <xdr:sp macro="" textlink="">
      <xdr:nvSpPr>
        <xdr:cNvPr id="3080" name="TextBox 3079">
          <a:extLst>
            <a:ext uri="{FF2B5EF4-FFF2-40B4-BE49-F238E27FC236}">
              <a16:creationId xmlns:a16="http://schemas.microsoft.com/office/drawing/2014/main" id="{240ABECA-5B8D-4E91-87D4-656BE8062A13}"/>
            </a:ext>
          </a:extLst>
        </xdr:cNvPr>
        <xdr:cNvSpPr txBox="1"/>
      </xdr:nvSpPr>
      <xdr:spPr>
        <a:xfrm>
          <a:off x="2711704" y="4906027"/>
          <a:ext cx="1635087"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800" b="1">
              <a:solidFill>
                <a:schemeClr val="bg1"/>
              </a:solidFill>
              <a:latin typeface="Segoe UI" panose="020B0502040204020203" pitchFamily="34" charset="0"/>
              <a:ea typeface="+mn-ea"/>
              <a:cs typeface="Segoe UI" panose="020B0502040204020203" pitchFamily="34" charset="0"/>
            </a:rPr>
            <a:t>DAILY</a:t>
          </a:r>
        </a:p>
      </xdr:txBody>
    </xdr:sp>
    <xdr:clientData/>
  </xdr:oneCellAnchor>
  <xdr:oneCellAnchor>
    <xdr:from>
      <xdr:col>14</xdr:col>
      <xdr:colOff>534966</xdr:colOff>
      <xdr:row>25</xdr:row>
      <xdr:rowOff>52192</xdr:rowOff>
    </xdr:from>
    <xdr:ext cx="2139863" cy="342900"/>
    <xdr:sp macro="" textlink="">
      <xdr:nvSpPr>
        <xdr:cNvPr id="3081" name="TextBox 3080">
          <a:extLst>
            <a:ext uri="{FF2B5EF4-FFF2-40B4-BE49-F238E27FC236}">
              <a16:creationId xmlns:a16="http://schemas.microsoft.com/office/drawing/2014/main" id="{96FE774B-2F3C-4712-80CD-0BEEF0BFA734}"/>
            </a:ext>
          </a:extLst>
        </xdr:cNvPr>
        <xdr:cNvSpPr txBox="1"/>
      </xdr:nvSpPr>
      <xdr:spPr>
        <a:xfrm>
          <a:off x="8663836" y="4827740"/>
          <a:ext cx="2139863"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800" b="1">
              <a:solidFill>
                <a:schemeClr val="bg1"/>
              </a:solidFill>
              <a:latin typeface="Segoe UI" panose="020B0502040204020203" pitchFamily="34" charset="0"/>
              <a:ea typeface="+mn-ea"/>
              <a:cs typeface="Segoe UI" panose="020B0502040204020203" pitchFamily="34" charset="0"/>
            </a:rPr>
            <a:t>PAYMENT</a:t>
          </a:r>
          <a:r>
            <a:rPr lang="en-IN" sz="1800" b="1" baseline="0">
              <a:solidFill>
                <a:schemeClr val="bg1"/>
              </a:solidFill>
              <a:latin typeface="Segoe UI" panose="020B0502040204020203" pitchFamily="34" charset="0"/>
              <a:ea typeface="+mn-ea"/>
              <a:cs typeface="Segoe UI" panose="020B0502040204020203" pitchFamily="34" charset="0"/>
            </a:rPr>
            <a:t> MODE</a:t>
          </a:r>
          <a:endParaRPr lang="en-IN" sz="1800" b="1">
            <a:solidFill>
              <a:schemeClr val="bg1"/>
            </a:solidFill>
            <a:latin typeface="Segoe UI" panose="020B0502040204020203" pitchFamily="34" charset="0"/>
            <a:ea typeface="+mn-ea"/>
            <a:cs typeface="Segoe UI" panose="020B0502040204020203" pitchFamily="34" charset="0"/>
          </a:endParaRPr>
        </a:p>
      </xdr:txBody>
    </xdr:sp>
    <xdr:clientData/>
  </xdr:oneCellAnchor>
  <xdr:twoCellAnchor editAs="oneCell">
    <xdr:from>
      <xdr:col>1</xdr:col>
      <xdr:colOff>185552</xdr:colOff>
      <xdr:row>32</xdr:row>
      <xdr:rowOff>0</xdr:rowOff>
    </xdr:from>
    <xdr:to>
      <xdr:col>2</xdr:col>
      <xdr:colOff>493816</xdr:colOff>
      <xdr:row>35</xdr:row>
      <xdr:rowOff>86591</xdr:rowOff>
    </xdr:to>
    <xdr:pic>
      <xdr:nvPicPr>
        <xdr:cNvPr id="3086" name="Graphic 3085" descr="Shopping cart with solid fill">
          <a:extLst>
            <a:ext uri="{FF2B5EF4-FFF2-40B4-BE49-F238E27FC236}">
              <a16:creationId xmlns:a16="http://schemas.microsoft.com/office/drawing/2014/main" id="{A39BE52C-6C06-959D-4072-1932FEAA9EF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3994" y="5826331"/>
          <a:ext cx="914400" cy="643247"/>
        </a:xfrm>
        <a:prstGeom prst="rect">
          <a:avLst/>
        </a:prstGeom>
      </xdr:spPr>
    </xdr:pic>
    <xdr:clientData/>
  </xdr:twoCellAnchor>
  <xdr:oneCellAnchor>
    <xdr:from>
      <xdr:col>20</xdr:col>
      <xdr:colOff>335180</xdr:colOff>
      <xdr:row>18</xdr:row>
      <xdr:rowOff>123701</xdr:rowOff>
    </xdr:from>
    <xdr:ext cx="2139863" cy="342900"/>
    <xdr:sp macro="" textlink="">
      <xdr:nvSpPr>
        <xdr:cNvPr id="3089" name="TextBox 3088">
          <a:extLst>
            <a:ext uri="{FF2B5EF4-FFF2-40B4-BE49-F238E27FC236}">
              <a16:creationId xmlns:a16="http://schemas.microsoft.com/office/drawing/2014/main" id="{FC627A5A-9ED4-42CC-89D2-9A26F2545393}"/>
            </a:ext>
          </a:extLst>
        </xdr:cNvPr>
        <xdr:cNvSpPr txBox="1"/>
      </xdr:nvSpPr>
      <xdr:spPr>
        <a:xfrm>
          <a:off x="12000212" y="3352305"/>
          <a:ext cx="2139863"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800" b="1">
              <a:solidFill>
                <a:schemeClr val="bg1"/>
              </a:solidFill>
              <a:latin typeface="Segoe UI" panose="020B0502040204020203" pitchFamily="34" charset="0"/>
              <a:ea typeface="+mn-ea"/>
              <a:cs typeface="Segoe UI" panose="020B0502040204020203" pitchFamily="34" charset="0"/>
            </a:rPr>
            <a:t>CATEGORY</a:t>
          </a:r>
        </a:p>
      </xdr:txBody>
    </xdr:sp>
    <xdr:clientData/>
  </xdr:oneCellAnchor>
  <xdr:twoCellAnchor>
    <xdr:from>
      <xdr:col>19</xdr:col>
      <xdr:colOff>361657</xdr:colOff>
      <xdr:row>8</xdr:row>
      <xdr:rowOff>159127</xdr:rowOff>
    </xdr:from>
    <xdr:to>
      <xdr:col>21</xdr:col>
      <xdr:colOff>222662</xdr:colOff>
      <xdr:row>17</xdr:row>
      <xdr:rowOff>74225</xdr:rowOff>
    </xdr:to>
    <xdr:sp macro="" textlink="">
      <xdr:nvSpPr>
        <xdr:cNvPr id="3090" name="Arrow: Pentagon 3089">
          <a:extLst>
            <a:ext uri="{FF2B5EF4-FFF2-40B4-BE49-F238E27FC236}">
              <a16:creationId xmlns:a16="http://schemas.microsoft.com/office/drawing/2014/main" id="{10F0A7F8-C809-4784-A4B8-A0F35598D22B}"/>
            </a:ext>
          </a:extLst>
        </xdr:cNvPr>
        <xdr:cNvSpPr/>
      </xdr:nvSpPr>
      <xdr:spPr>
        <a:xfrm rot="5400000">
          <a:off x="11164659" y="1788105"/>
          <a:ext cx="1585066" cy="1073278"/>
        </a:xfrm>
        <a:prstGeom prst="homePlate">
          <a:avLst>
            <a:gd name="adj" fmla="val 38395"/>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210291</xdr:colOff>
      <xdr:row>8</xdr:row>
      <xdr:rowOff>37111</xdr:rowOff>
    </xdr:from>
    <xdr:to>
      <xdr:col>21</xdr:col>
      <xdr:colOff>333993</xdr:colOff>
      <xdr:row>9</xdr:row>
      <xdr:rowOff>49481</xdr:rowOff>
    </xdr:to>
    <xdr:sp macro="" textlink="">
      <xdr:nvSpPr>
        <xdr:cNvPr id="3091" name="Trapezoid 3090">
          <a:extLst>
            <a:ext uri="{FF2B5EF4-FFF2-40B4-BE49-F238E27FC236}">
              <a16:creationId xmlns:a16="http://schemas.microsoft.com/office/drawing/2014/main" id="{EEE2D1E8-BC57-4705-95B5-09FFEC604A1E}"/>
            </a:ext>
          </a:extLst>
        </xdr:cNvPr>
        <xdr:cNvSpPr/>
      </xdr:nvSpPr>
      <xdr:spPr>
        <a:xfrm>
          <a:off x="11269187" y="1410195"/>
          <a:ext cx="1335975" cy="197922"/>
        </a:xfrm>
        <a:prstGeom prst="trapezoid">
          <a:avLst/>
        </a:prstGeom>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oneCellAnchor>
    <xdr:from>
      <xdr:col>19</xdr:col>
      <xdr:colOff>497728</xdr:colOff>
      <xdr:row>9</xdr:row>
      <xdr:rowOff>35425</xdr:rowOff>
    </xdr:from>
    <xdr:ext cx="825876" cy="566058"/>
    <xdr:sp macro="" textlink="">
      <xdr:nvSpPr>
        <xdr:cNvPr id="3092" name="TextBox 3091">
          <a:extLst>
            <a:ext uri="{FF2B5EF4-FFF2-40B4-BE49-F238E27FC236}">
              <a16:creationId xmlns:a16="http://schemas.microsoft.com/office/drawing/2014/main" id="{55B39A61-2A71-4959-8F04-2DED53CBEF0F}"/>
            </a:ext>
          </a:extLst>
        </xdr:cNvPr>
        <xdr:cNvSpPr txBox="1"/>
      </xdr:nvSpPr>
      <xdr:spPr>
        <a:xfrm>
          <a:off x="11556624" y="1594061"/>
          <a:ext cx="825876" cy="566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chemeClr val="accent1">
                  <a:lumMod val="60000"/>
                  <a:lumOff val="40000"/>
                </a:schemeClr>
              </a:solidFill>
            </a:rPr>
            <a:t>    TOP</a:t>
          </a:r>
        </a:p>
        <a:p>
          <a:r>
            <a:rPr lang="en-IN" sz="1200" b="1">
              <a:solidFill>
                <a:schemeClr val="accent1">
                  <a:lumMod val="60000"/>
                  <a:lumOff val="40000"/>
                </a:schemeClr>
              </a:solidFill>
            </a:rPr>
            <a:t>PRODUCT</a:t>
          </a:r>
        </a:p>
      </xdr:txBody>
    </xdr:sp>
    <xdr:clientData/>
  </xdr:oneCellAnchor>
  <xdr:oneCellAnchor>
    <xdr:from>
      <xdr:col>22</xdr:col>
      <xdr:colOff>384998</xdr:colOff>
      <xdr:row>9</xdr:row>
      <xdr:rowOff>27509</xdr:rowOff>
    </xdr:from>
    <xdr:ext cx="889123" cy="566058"/>
    <xdr:sp macro="" textlink="">
      <xdr:nvSpPr>
        <xdr:cNvPr id="3093" name="TextBox 3092">
          <a:extLst>
            <a:ext uri="{FF2B5EF4-FFF2-40B4-BE49-F238E27FC236}">
              <a16:creationId xmlns:a16="http://schemas.microsoft.com/office/drawing/2014/main" id="{7A34ECBF-FB04-41B6-99C7-16E620380B63}"/>
            </a:ext>
          </a:extLst>
        </xdr:cNvPr>
        <xdr:cNvSpPr txBox="1"/>
      </xdr:nvSpPr>
      <xdr:spPr>
        <a:xfrm>
          <a:off x="13262303" y="1586145"/>
          <a:ext cx="889123" cy="566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accent1">
                  <a:lumMod val="60000"/>
                  <a:lumOff val="40000"/>
                </a:schemeClr>
              </a:solidFill>
            </a:rPr>
            <a:t>    </a:t>
          </a:r>
          <a:r>
            <a:rPr lang="en-IN" sz="1200" b="1">
              <a:solidFill>
                <a:schemeClr val="accent1">
                  <a:lumMod val="60000"/>
                  <a:lumOff val="40000"/>
                </a:schemeClr>
              </a:solidFill>
              <a:latin typeface="+mn-lt"/>
              <a:ea typeface="+mn-ea"/>
              <a:cs typeface="+mn-cs"/>
            </a:rPr>
            <a:t>TOP</a:t>
          </a:r>
        </a:p>
        <a:p>
          <a:r>
            <a:rPr lang="en-IN" sz="1200" b="1">
              <a:solidFill>
                <a:schemeClr val="accent1">
                  <a:lumMod val="60000"/>
                  <a:lumOff val="40000"/>
                </a:schemeClr>
              </a:solidFill>
              <a:latin typeface="+mn-lt"/>
              <a:ea typeface="+mn-ea"/>
              <a:cs typeface="+mn-cs"/>
            </a:rPr>
            <a:t>CATEGORY</a:t>
          </a:r>
        </a:p>
      </xdr:txBody>
    </xdr:sp>
    <xdr:clientData/>
  </xdr:oneCellAnchor>
  <xdr:oneCellAnchor>
    <xdr:from>
      <xdr:col>19</xdr:col>
      <xdr:colOff>411136</xdr:colOff>
      <xdr:row>11</xdr:row>
      <xdr:rowOff>60166</xdr:rowOff>
    </xdr:from>
    <xdr:ext cx="912467" cy="273828"/>
    <xdr:sp macro="" textlink="Analysis!V1">
      <xdr:nvSpPr>
        <xdr:cNvPr id="3102" name="TextBox 3101">
          <a:extLst>
            <a:ext uri="{FF2B5EF4-FFF2-40B4-BE49-F238E27FC236}">
              <a16:creationId xmlns:a16="http://schemas.microsoft.com/office/drawing/2014/main" id="{602D4D57-A170-455C-8E2C-1EFE5A245712}"/>
            </a:ext>
          </a:extLst>
        </xdr:cNvPr>
        <xdr:cNvSpPr txBox="1"/>
      </xdr:nvSpPr>
      <xdr:spPr>
        <a:xfrm>
          <a:off x="11470032" y="1989906"/>
          <a:ext cx="912467" cy="273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98243B49-925D-44FA-BE88-4FB949FE8858}" type="TxLink">
            <a:rPr lang="en-US" sz="1400">
              <a:solidFill>
                <a:schemeClr val="bg1"/>
              </a:solidFill>
              <a:latin typeface="+mn-lt"/>
              <a:ea typeface="+mn-ea"/>
              <a:cs typeface="+mn-cs"/>
            </a:rPr>
            <a:pPr marL="0" indent="0"/>
            <a:t>Product42</a:t>
          </a:fld>
          <a:endParaRPr lang="en-IN" sz="1400">
            <a:solidFill>
              <a:schemeClr val="bg1"/>
            </a:solidFill>
            <a:latin typeface="+mn-lt"/>
            <a:ea typeface="+mn-ea"/>
            <a:cs typeface="+mn-cs"/>
          </a:endParaRPr>
        </a:p>
      </xdr:txBody>
    </xdr:sp>
    <xdr:clientData/>
  </xdr:oneCellAnchor>
  <xdr:oneCellAnchor>
    <xdr:from>
      <xdr:col>20</xdr:col>
      <xdr:colOff>262696</xdr:colOff>
      <xdr:row>12</xdr:row>
      <xdr:rowOff>97276</xdr:rowOff>
    </xdr:from>
    <xdr:ext cx="327334" cy="311496"/>
    <xdr:sp macro="" textlink="Analysis!W1">
      <xdr:nvSpPr>
        <xdr:cNvPr id="3103" name="TextBox 3102">
          <a:extLst>
            <a:ext uri="{FF2B5EF4-FFF2-40B4-BE49-F238E27FC236}">
              <a16:creationId xmlns:a16="http://schemas.microsoft.com/office/drawing/2014/main" id="{1F5A0F51-9F61-468B-A911-E1CD4AC8B50E}"/>
            </a:ext>
          </a:extLst>
        </xdr:cNvPr>
        <xdr:cNvSpPr txBox="1"/>
      </xdr:nvSpPr>
      <xdr:spPr>
        <a:xfrm>
          <a:off x="11927728" y="2212568"/>
          <a:ext cx="3273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878E78-A7EC-4319-8FCE-3D9152C1999C}" type="TxLink">
            <a:rPr lang="en-US" sz="1400" b="0" i="0" u="none" strike="noStrike">
              <a:solidFill>
                <a:schemeClr val="bg1"/>
              </a:solidFill>
              <a:latin typeface="Calibri"/>
              <a:ea typeface="Calibri"/>
              <a:cs typeface="Calibri"/>
            </a:rPr>
            <a:pPr/>
            <a:t>Ft</a:t>
          </a:fld>
          <a:endParaRPr lang="en-IN" sz="1400">
            <a:solidFill>
              <a:schemeClr val="bg1"/>
            </a:solidFill>
          </a:endParaRPr>
        </a:p>
      </xdr:txBody>
    </xdr:sp>
    <xdr:clientData/>
  </xdr:oneCellAnchor>
  <xdr:oneCellAnchor>
    <xdr:from>
      <xdr:col>19</xdr:col>
      <xdr:colOff>551168</xdr:colOff>
      <xdr:row>12</xdr:row>
      <xdr:rowOff>101234</xdr:rowOff>
    </xdr:from>
    <xdr:ext cx="457626" cy="311496"/>
    <xdr:sp macro="" textlink="Analysis!Y1">
      <xdr:nvSpPr>
        <xdr:cNvPr id="3104" name="TextBox 3103">
          <a:extLst>
            <a:ext uri="{FF2B5EF4-FFF2-40B4-BE49-F238E27FC236}">
              <a16:creationId xmlns:a16="http://schemas.microsoft.com/office/drawing/2014/main" id="{64DEE06C-9C71-47ED-A39D-C2B6A7FB5F26}"/>
            </a:ext>
          </a:extLst>
        </xdr:cNvPr>
        <xdr:cNvSpPr txBox="1"/>
      </xdr:nvSpPr>
      <xdr:spPr>
        <a:xfrm>
          <a:off x="11610064" y="2216526"/>
          <a:ext cx="4576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28F59DFE-0006-4346-8134-38C0B7F1BC38}" type="TxLink">
            <a:rPr lang="en-US" sz="1400" b="0" i="0" u="none" strike="noStrike">
              <a:solidFill>
                <a:schemeClr val="bg1"/>
              </a:solidFill>
              <a:latin typeface="Calibri"/>
              <a:ea typeface="Calibri"/>
              <a:cs typeface="Calibri"/>
            </a:rPr>
            <a:pPr marL="0" indent="0"/>
            <a:t>212</a:t>
          </a:fld>
          <a:endParaRPr lang="en-IN" sz="1400" b="0" i="0" u="none" strike="noStrike">
            <a:solidFill>
              <a:schemeClr val="bg1"/>
            </a:solidFill>
            <a:latin typeface="Calibri"/>
            <a:ea typeface="Calibri"/>
            <a:cs typeface="Calibri"/>
          </a:endParaRPr>
        </a:p>
      </xdr:txBody>
    </xdr:sp>
    <xdr:clientData/>
  </xdr:oneCellAnchor>
  <xdr:oneCellAnchor>
    <xdr:from>
      <xdr:col>19</xdr:col>
      <xdr:colOff>439835</xdr:colOff>
      <xdr:row>13</xdr:row>
      <xdr:rowOff>150714</xdr:rowOff>
    </xdr:from>
    <xdr:ext cx="775405" cy="311496"/>
    <xdr:sp macro="" textlink="Analysis!X1">
      <xdr:nvSpPr>
        <xdr:cNvPr id="3105" name="TextBox 3104">
          <a:extLst>
            <a:ext uri="{FF2B5EF4-FFF2-40B4-BE49-F238E27FC236}">
              <a16:creationId xmlns:a16="http://schemas.microsoft.com/office/drawing/2014/main" id="{E6D39EBF-97E6-43D8-8457-01F0ECCC775C}"/>
            </a:ext>
          </a:extLst>
        </xdr:cNvPr>
        <xdr:cNvSpPr txBox="1"/>
      </xdr:nvSpPr>
      <xdr:spPr>
        <a:xfrm>
          <a:off x="11498731" y="2451558"/>
          <a:ext cx="77540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1CF9FF-01CD-4088-8291-72052D2E4DB7}" type="TxLink">
            <a:rPr lang="en-US" sz="1400" b="1" i="0" u="none" strike="noStrike">
              <a:solidFill>
                <a:schemeClr val="bg1"/>
              </a:solidFill>
              <a:latin typeface="Calibri"/>
              <a:ea typeface="Calibri"/>
              <a:cs typeface="Calibri"/>
            </a:rPr>
            <a:pPr/>
            <a:t>$29,262</a:t>
          </a:fld>
          <a:endParaRPr lang="en-IN" sz="1400" b="1">
            <a:solidFill>
              <a:schemeClr val="bg1"/>
            </a:solidFill>
          </a:endParaRPr>
        </a:p>
      </xdr:txBody>
    </xdr:sp>
    <xdr:clientData/>
  </xdr:oneCellAnchor>
  <xdr:oneCellAnchor>
    <xdr:from>
      <xdr:col>22</xdr:col>
      <xdr:colOff>325761</xdr:colOff>
      <xdr:row>11</xdr:row>
      <xdr:rowOff>141453</xdr:rowOff>
    </xdr:from>
    <xdr:ext cx="912109" cy="280205"/>
    <xdr:sp macro="" textlink="Analysis!AJ1">
      <xdr:nvSpPr>
        <xdr:cNvPr id="3106" name="TextBox 3105">
          <a:extLst>
            <a:ext uri="{FF2B5EF4-FFF2-40B4-BE49-F238E27FC236}">
              <a16:creationId xmlns:a16="http://schemas.microsoft.com/office/drawing/2014/main" id="{93E6F558-C1BA-468F-9FBA-1BD4DB435BFD}"/>
            </a:ext>
          </a:extLst>
        </xdr:cNvPr>
        <xdr:cNvSpPr txBox="1"/>
      </xdr:nvSpPr>
      <xdr:spPr>
        <a:xfrm>
          <a:off x="13203066" y="2071193"/>
          <a:ext cx="91210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2924D89-0326-400E-BBD5-FAE76B8D9DEC}" type="TxLink">
            <a:rPr lang="en-US" sz="1200" b="1" i="0" u="none" strike="noStrike">
              <a:solidFill>
                <a:schemeClr val="bg1"/>
              </a:solidFill>
              <a:latin typeface="Calibri"/>
              <a:ea typeface="Calibri"/>
              <a:cs typeface="Calibri"/>
            </a:rPr>
            <a:pPr/>
            <a:t>Category05</a:t>
          </a:fld>
          <a:endParaRPr lang="en-IN" sz="1200" b="1">
            <a:solidFill>
              <a:schemeClr val="bg1"/>
            </a:solidFill>
          </a:endParaRPr>
        </a:p>
      </xdr:txBody>
    </xdr:sp>
    <xdr:clientData/>
  </xdr:oneCellAnchor>
  <xdr:oneCellAnchor>
    <xdr:from>
      <xdr:col>22</xdr:col>
      <xdr:colOff>317348</xdr:colOff>
      <xdr:row>13</xdr:row>
      <xdr:rowOff>71192</xdr:rowOff>
    </xdr:from>
    <xdr:ext cx="1002069" cy="280205"/>
    <xdr:sp macro="" textlink="Analysis!AK1">
      <xdr:nvSpPr>
        <xdr:cNvPr id="3107" name="TextBox 3106">
          <a:extLst>
            <a:ext uri="{FF2B5EF4-FFF2-40B4-BE49-F238E27FC236}">
              <a16:creationId xmlns:a16="http://schemas.microsoft.com/office/drawing/2014/main" id="{EC9822B6-01E2-42B2-9D12-FF4D2D2D2252}"/>
            </a:ext>
          </a:extLst>
        </xdr:cNvPr>
        <xdr:cNvSpPr txBox="1"/>
      </xdr:nvSpPr>
      <xdr:spPr>
        <a:xfrm>
          <a:off x="13194653" y="2372036"/>
          <a:ext cx="10020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65AE61-A6A4-4088-9727-7C9D3559DA2E}" type="TxLink">
            <a:rPr lang="en-US" sz="1200" b="1" i="0" u="none" strike="noStrike">
              <a:solidFill>
                <a:schemeClr val="bg1"/>
              </a:solidFill>
              <a:latin typeface="Calibri"/>
              <a:ea typeface="Calibri"/>
              <a:cs typeface="Calibri"/>
            </a:rPr>
            <a:pPr/>
            <a:t>$1,66,465.92</a:t>
          </a:fld>
          <a:endParaRPr lang="en-IN" sz="1200" b="1">
            <a:solidFill>
              <a:schemeClr val="bg1"/>
            </a:solidFill>
          </a:endParaRPr>
        </a:p>
      </xdr:txBody>
    </xdr:sp>
    <xdr:clientData/>
  </xdr:oneCellAnchor>
  <xdr:twoCellAnchor editAs="oneCell">
    <xdr:from>
      <xdr:col>20</xdr:col>
      <xdr:colOff>408215</xdr:colOff>
      <xdr:row>1</xdr:row>
      <xdr:rowOff>123701</xdr:rowOff>
    </xdr:from>
    <xdr:to>
      <xdr:col>24</xdr:col>
      <xdr:colOff>0</xdr:colOff>
      <xdr:row>6</xdr:row>
      <xdr:rowOff>123700</xdr:rowOff>
    </xdr:to>
    <xdr:pic>
      <xdr:nvPicPr>
        <xdr:cNvPr id="3" name="Picture 2">
          <a:extLst>
            <a:ext uri="{FF2B5EF4-FFF2-40B4-BE49-F238E27FC236}">
              <a16:creationId xmlns:a16="http://schemas.microsoft.com/office/drawing/2014/main" id="{1FAF9C2C-393D-5BE8-6C1D-10E0A0DE3CA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073247" y="197922"/>
          <a:ext cx="2016331" cy="9277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447675</xdr:colOff>
          <xdr:row>16</xdr:row>
          <xdr:rowOff>171450</xdr:rowOff>
        </xdr:from>
        <xdr:to>
          <xdr:col>8</xdr:col>
          <xdr:colOff>1000125</xdr:colOff>
          <xdr:row>18</xdr:row>
          <xdr:rowOff>171450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1085850</xdr:colOff>
          <xdr:row>16</xdr:row>
          <xdr:rowOff>85725</xdr:rowOff>
        </xdr:from>
        <xdr:to>
          <xdr:col>9</xdr:col>
          <xdr:colOff>9525</xdr:colOff>
          <xdr:row>18</xdr:row>
          <xdr:rowOff>95250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85725</xdr:colOff>
          <xdr:row>17</xdr:row>
          <xdr:rowOff>0</xdr:rowOff>
        </xdr:from>
        <xdr:to>
          <xdr:col>9</xdr:col>
          <xdr:colOff>638175</xdr:colOff>
          <xdr:row>19</xdr:row>
          <xdr:rowOff>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refreshedDate="46193.662806134256" createdVersion="7" refreshedVersion="8" minRefreshableVersion="3" recordCount="950" xr:uid="{D1919771-3DD6-48AD-B7F1-CB62673FDC36}">
  <cacheSource type="worksheet">
    <worksheetSource name="Table1"/>
  </cacheSource>
  <cacheFields count="16">
    <cacheField name="Date" numFmtId="164">
      <sharedItems containsSemiMixedTypes="0" containsNonDate="0" containsDate="1" containsString="0" minDate="2024-01-01T00:00:00" maxDate="2026-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Direct Sales"/>
        <s v="Online"/>
      </sharedItems>
    </cacheField>
    <cacheField name="Payment Mode" numFmtId="0">
      <sharedItems count="2">
        <s v="Online"/>
        <s v="Cash"/>
      </sharedItems>
    </cacheField>
    <cacheField name="Discount %" numFmtId="165">
      <sharedItems containsSemiMixedTypes="0" containsString="0" containsNumber="1" minValue="0" maxValue="0.1"/>
    </cacheField>
    <cacheField name="Product" numFmtId="0">
      <sharedItems count="45">
        <s v="Product25"/>
        <s v="Product27"/>
        <s v="Product14"/>
        <s v="Product11"/>
        <s v="Product17"/>
        <s v="Product45"/>
        <s v="Product35"/>
        <s v="Product23"/>
        <s v="Product41"/>
        <s v="Product06"/>
        <s v="Product22"/>
        <s v="Product18"/>
        <s v="Product19"/>
        <s v="Product36"/>
        <s v="Product12"/>
        <s v="Product03"/>
        <s v="Product30"/>
        <s v="Product01"/>
        <s v="Product21"/>
        <s v="Product16"/>
        <s v="Product08"/>
        <s v="Product20"/>
        <s v="Product15"/>
        <s v="Product05"/>
        <s v="Product37"/>
        <s v="Product29"/>
        <s v="Product10"/>
        <s v="Product39"/>
        <s v="Product31"/>
        <s v="Product43"/>
        <s v="Product42"/>
        <s v="Product28"/>
        <s v="Product44"/>
        <s v="Product32"/>
        <s v="Product38"/>
        <s v="Product26"/>
        <s v="Product34"/>
        <s v="Product04"/>
        <s v="Product07"/>
        <s v="Product24"/>
        <s v="Product40"/>
        <s v="Product09"/>
        <s v="Product02"/>
        <s v="Product13"/>
        <s v="Product33"/>
      </sharedItems>
    </cacheField>
    <cacheField name="Category" numFmtId="0">
      <sharedItems count="5">
        <s v="Category03"/>
        <s v="Category04"/>
        <s v="Category02"/>
        <s v="Category05"/>
        <s v="Category01"/>
      </sharedItems>
    </cacheField>
    <cacheField name="UOM" numFmtId="0">
      <sharedItems count="4">
        <s v="No."/>
        <s v="Lt"/>
        <s v="Kg"/>
        <s v="Ft"/>
      </sharedItems>
    </cacheField>
    <cacheField name="Buying Price" numFmtId="166">
      <sharedItems containsSemiMixedTypes="0" containsString="0" containsNumber="1" containsInteger="1" minValue="5" maxValue="157"/>
    </cacheField>
    <cacheField name="Selling Price" numFmtId="166">
      <sharedItems containsSemiMixedTypes="0" containsString="0" containsNumber="1" minValue="5.41" maxValue="182.47"/>
    </cacheField>
    <cacheField name="Total Buying Value" numFmtId="166">
      <sharedItems containsSemiMixedTypes="0" containsString="0" containsNumber="1" containsInteger="1" minValue="5" maxValue="2340"/>
    </cacheField>
    <cacheField name="Total Selling Value" numFmtId="166">
      <sharedItems containsSemiMixedTypes="0" containsString="0" containsNumber="1" minValue="5.86" maxValue="2680.95"/>
    </cacheField>
    <cacheField name="DAY" numFmtId="0">
      <sharedItems containsSemiMixedTypes="0" containsString="0" containsNumber="1" containsInteger="1" minValue="1" maxValue="31" count="31">
        <n v="2"/>
        <n v="3"/>
        <n v="4"/>
        <n v="7"/>
        <n v="8"/>
        <n v="9"/>
        <n v="10"/>
        <n v="14"/>
        <n v="15"/>
        <n v="16"/>
        <n v="17"/>
        <n v="18"/>
        <n v="19"/>
        <n v="20"/>
        <n v="21"/>
        <n v="23"/>
        <n v="24"/>
        <n v="27"/>
        <n v="28"/>
        <n v="29"/>
        <n v="30"/>
        <n v="31"/>
        <n v="1"/>
        <n v="5"/>
        <n v="6"/>
        <n v="11"/>
        <n v="12"/>
        <n v="13"/>
        <n v="22"/>
        <n v="25"/>
        <n v="26"/>
      </sharedItems>
    </cacheField>
    <cacheField name="MONTH" numFmtId="0">
      <sharedItems count="12">
        <s v="Jan"/>
        <s v="Feb"/>
        <s v="Mar"/>
        <s v="Apr"/>
        <s v="May"/>
        <s v="Jun"/>
        <s v="Jul"/>
        <s v="Aug"/>
        <s v="Sep"/>
        <s v="Oct"/>
        <s v="Nov"/>
        <s v="Dec"/>
      </sharedItems>
    </cacheField>
    <cacheField name="YEAR" numFmtId="0">
      <sharedItems count="2">
        <s v="2025"/>
        <s v="2024"/>
      </sharedItems>
    </cacheField>
  </cacheFields>
  <extLst>
    <ext xmlns:x14="http://schemas.microsoft.com/office/spreadsheetml/2009/9/main" uri="{725AE2AE-9491-48be-B2B4-4EB974FC3084}">
      <x14:pivotCacheDefinition pivotCacheId="1934223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d v="2025-01-02T00:00:00"/>
    <s v="P0025"/>
    <n v="5"/>
    <x v="0"/>
    <x v="0"/>
    <n v="0.1"/>
    <x v="0"/>
    <x v="0"/>
    <x v="0"/>
    <n v="7"/>
    <n v="6.9"/>
    <n v="35"/>
    <n v="34.5"/>
    <x v="0"/>
    <x v="0"/>
    <x v="0"/>
  </r>
  <r>
    <d v="2025-01-02T00:00:00"/>
    <s v="P0027"/>
    <n v="8"/>
    <x v="1"/>
    <x v="0"/>
    <n v="0"/>
    <x v="1"/>
    <x v="1"/>
    <x v="1"/>
    <n v="48"/>
    <n v="52.95"/>
    <n v="384"/>
    <n v="423.6"/>
    <x v="0"/>
    <x v="0"/>
    <x v="0"/>
  </r>
  <r>
    <d v="2025-01-03T00:00:00"/>
    <s v="P0014"/>
    <n v="4"/>
    <x v="2"/>
    <x v="1"/>
    <n v="0"/>
    <x v="2"/>
    <x v="2"/>
    <x v="2"/>
    <n v="112"/>
    <n v="129.91"/>
    <n v="448"/>
    <n v="519.64"/>
    <x v="1"/>
    <x v="0"/>
    <x v="0"/>
  </r>
  <r>
    <d v="2025-01-04T00:00:00"/>
    <s v="P0011"/>
    <n v="12"/>
    <x v="2"/>
    <x v="0"/>
    <n v="0"/>
    <x v="3"/>
    <x v="2"/>
    <x v="2"/>
    <n v="47"/>
    <n v="55.26"/>
    <n v="564"/>
    <n v="663.12"/>
    <x v="2"/>
    <x v="0"/>
    <x v="0"/>
  </r>
  <r>
    <d v="2025-01-04T00:00:00"/>
    <s v="P0017"/>
    <n v="7"/>
    <x v="2"/>
    <x v="0"/>
    <n v="0"/>
    <x v="4"/>
    <x v="0"/>
    <x v="0"/>
    <n v="12"/>
    <n v="13.32"/>
    <n v="84"/>
    <n v="93.240000000000009"/>
    <x v="2"/>
    <x v="0"/>
    <x v="0"/>
  </r>
  <r>
    <d v="2025-01-07T00:00:00"/>
    <s v="P0045"/>
    <n v="10"/>
    <x v="1"/>
    <x v="0"/>
    <n v="0"/>
    <x v="5"/>
    <x v="3"/>
    <x v="1"/>
    <n v="63"/>
    <n v="68.98"/>
    <n v="630"/>
    <n v="689.80000000000007"/>
    <x v="3"/>
    <x v="0"/>
    <x v="0"/>
  </r>
  <r>
    <d v="2025-01-08T00:00:00"/>
    <s v="P0035"/>
    <n v="3"/>
    <x v="2"/>
    <x v="1"/>
    <n v="0"/>
    <x v="6"/>
    <x v="1"/>
    <x v="0"/>
    <n v="5"/>
    <n v="5.75"/>
    <n v="15"/>
    <n v="17.25"/>
    <x v="4"/>
    <x v="0"/>
    <x v="0"/>
  </r>
  <r>
    <d v="2025-01-08T00:00:00"/>
    <s v="P0023"/>
    <n v="13"/>
    <x v="1"/>
    <x v="0"/>
    <n v="0.05"/>
    <x v="7"/>
    <x v="0"/>
    <x v="3"/>
    <n v="141"/>
    <n v="145.37"/>
    <n v="1833"/>
    <n v="1889.81"/>
    <x v="4"/>
    <x v="0"/>
    <x v="0"/>
  </r>
  <r>
    <d v="2025-01-09T00:00:00"/>
    <s v="P0041"/>
    <n v="9"/>
    <x v="1"/>
    <x v="1"/>
    <n v="0"/>
    <x v="8"/>
    <x v="3"/>
    <x v="3"/>
    <n v="98"/>
    <n v="105.86"/>
    <n v="882"/>
    <n v="952.74"/>
    <x v="5"/>
    <x v="0"/>
    <x v="0"/>
  </r>
  <r>
    <d v="2025-01-10T00:00:00"/>
    <s v="P0025"/>
    <n v="13"/>
    <x v="1"/>
    <x v="0"/>
    <n v="0"/>
    <x v="0"/>
    <x v="0"/>
    <x v="0"/>
    <n v="7"/>
    <n v="7.9"/>
    <n v="91"/>
    <n v="102.7"/>
    <x v="6"/>
    <x v="0"/>
    <x v="0"/>
  </r>
  <r>
    <d v="2025-01-14T00:00:00"/>
    <s v="P0027"/>
    <n v="1"/>
    <x v="2"/>
    <x v="0"/>
    <n v="0"/>
    <x v="1"/>
    <x v="1"/>
    <x v="1"/>
    <n v="48"/>
    <n v="56.61"/>
    <n v="48"/>
    <n v="56.61"/>
    <x v="7"/>
    <x v="0"/>
    <x v="0"/>
  </r>
  <r>
    <d v="2025-01-15T00:00:00"/>
    <s v="P0006"/>
    <n v="1"/>
    <x v="0"/>
    <x v="0"/>
    <n v="0"/>
    <x v="9"/>
    <x v="4"/>
    <x v="2"/>
    <n v="75"/>
    <n v="84.12"/>
    <n v="75"/>
    <n v="84.12"/>
    <x v="8"/>
    <x v="0"/>
    <x v="0"/>
  </r>
  <r>
    <d v="2025-01-16T00:00:00"/>
    <s v="P0006"/>
    <n v="12"/>
    <x v="1"/>
    <x v="0"/>
    <n v="0"/>
    <x v="9"/>
    <x v="4"/>
    <x v="2"/>
    <n v="75"/>
    <n v="83.56"/>
    <n v="900"/>
    <n v="1002.72"/>
    <x v="9"/>
    <x v="0"/>
    <x v="0"/>
  </r>
  <r>
    <d v="2025-01-16T00:00:00"/>
    <s v="P0022"/>
    <n v="13"/>
    <x v="2"/>
    <x v="1"/>
    <n v="0"/>
    <x v="10"/>
    <x v="0"/>
    <x v="3"/>
    <n v="110"/>
    <n v="129.53"/>
    <n v="1430"/>
    <n v="1683.89"/>
    <x v="9"/>
    <x v="0"/>
    <x v="0"/>
  </r>
  <r>
    <d v="2025-01-17T00:00:00"/>
    <s v="P0022"/>
    <n v="2"/>
    <x v="1"/>
    <x v="0"/>
    <n v="0"/>
    <x v="10"/>
    <x v="0"/>
    <x v="3"/>
    <n v="110"/>
    <n v="121.16"/>
    <n v="220"/>
    <n v="242.32"/>
    <x v="10"/>
    <x v="0"/>
    <x v="0"/>
  </r>
  <r>
    <d v="2025-01-17T00:00:00"/>
    <s v="P0006"/>
    <n v="7"/>
    <x v="2"/>
    <x v="0"/>
    <n v="0.02"/>
    <x v="9"/>
    <x v="4"/>
    <x v="2"/>
    <n v="75"/>
    <n v="84.54"/>
    <n v="525"/>
    <n v="591.78000000000009"/>
    <x v="10"/>
    <x v="0"/>
    <x v="0"/>
  </r>
  <r>
    <d v="2025-01-17T00:00:00"/>
    <s v="P0018"/>
    <n v="4"/>
    <x v="1"/>
    <x v="1"/>
    <n v="0"/>
    <x v="11"/>
    <x v="0"/>
    <x v="0"/>
    <n v="8"/>
    <n v="9.09"/>
    <n v="32"/>
    <n v="36.36"/>
    <x v="10"/>
    <x v="0"/>
    <x v="0"/>
  </r>
  <r>
    <d v="2025-01-18T00:00:00"/>
    <s v="P0019"/>
    <n v="1"/>
    <x v="2"/>
    <x v="1"/>
    <n v="0.02"/>
    <x v="12"/>
    <x v="0"/>
    <x v="2"/>
    <n v="67"/>
    <n v="76.739999999999995"/>
    <n v="67"/>
    <n v="76.739999999999995"/>
    <x v="11"/>
    <x v="0"/>
    <x v="0"/>
  </r>
  <r>
    <d v="2025-01-19T00:00:00"/>
    <s v="P0036"/>
    <n v="13"/>
    <x v="0"/>
    <x v="0"/>
    <n v="0.05"/>
    <x v="13"/>
    <x v="3"/>
    <x v="2"/>
    <n v="102"/>
    <n v="108.69"/>
    <n v="1326"/>
    <n v="1412.97"/>
    <x v="12"/>
    <x v="0"/>
    <x v="0"/>
  </r>
  <r>
    <d v="2025-01-20T00:00:00"/>
    <s v="P0012"/>
    <n v="7"/>
    <x v="0"/>
    <x v="1"/>
    <n v="0.05"/>
    <x v="14"/>
    <x v="2"/>
    <x v="1"/>
    <n v="58"/>
    <n v="63.85"/>
    <n v="406"/>
    <n v="446.95"/>
    <x v="13"/>
    <x v="0"/>
    <x v="0"/>
  </r>
  <r>
    <d v="2025-01-21T00:00:00"/>
    <s v="P0003"/>
    <n v="1"/>
    <x v="2"/>
    <x v="0"/>
    <n v="0"/>
    <x v="15"/>
    <x v="4"/>
    <x v="2"/>
    <n v="71"/>
    <n v="80.37"/>
    <n v="71"/>
    <n v="80.37"/>
    <x v="14"/>
    <x v="0"/>
    <x v="0"/>
  </r>
  <r>
    <d v="2025-01-23T00:00:00"/>
    <s v="P0030"/>
    <n v="9"/>
    <x v="2"/>
    <x v="0"/>
    <n v="0.05"/>
    <x v="16"/>
    <x v="1"/>
    <x v="2"/>
    <n v="79"/>
    <n v="87.28"/>
    <n v="711"/>
    <n v="785.52"/>
    <x v="15"/>
    <x v="0"/>
    <x v="0"/>
  </r>
  <r>
    <d v="2025-01-23T00:00:00"/>
    <s v="P0001"/>
    <n v="4"/>
    <x v="2"/>
    <x v="0"/>
    <n v="0"/>
    <x v="17"/>
    <x v="4"/>
    <x v="2"/>
    <n v="98"/>
    <n v="107.31"/>
    <n v="392"/>
    <n v="429.24"/>
    <x v="15"/>
    <x v="0"/>
    <x v="0"/>
  </r>
  <r>
    <d v="2025-01-24T00:00:00"/>
    <s v="P0021"/>
    <n v="13"/>
    <x v="2"/>
    <x v="0"/>
    <n v="0"/>
    <x v="18"/>
    <x v="0"/>
    <x v="2"/>
    <n v="84"/>
    <n v="91.94"/>
    <n v="1092"/>
    <n v="1195.22"/>
    <x v="16"/>
    <x v="0"/>
    <x v="0"/>
  </r>
  <r>
    <d v="2025-01-27T00:00:00"/>
    <s v="P0012"/>
    <n v="4"/>
    <x v="0"/>
    <x v="1"/>
    <n v="0.05"/>
    <x v="14"/>
    <x v="2"/>
    <x v="1"/>
    <n v="58"/>
    <n v="64.28"/>
    <n v="232"/>
    <n v="257.12"/>
    <x v="17"/>
    <x v="0"/>
    <x v="0"/>
  </r>
  <r>
    <d v="2025-01-28T00:00:00"/>
    <s v="P0016"/>
    <n v="8"/>
    <x v="2"/>
    <x v="1"/>
    <n v="0"/>
    <x v="19"/>
    <x v="0"/>
    <x v="3"/>
    <n v="95"/>
    <n v="108.24"/>
    <n v="760"/>
    <n v="865.92"/>
    <x v="18"/>
    <x v="0"/>
    <x v="0"/>
  </r>
  <r>
    <d v="2025-01-29T00:00:00"/>
    <s v="P0001"/>
    <n v="4"/>
    <x v="2"/>
    <x v="1"/>
    <n v="0"/>
    <x v="17"/>
    <x v="4"/>
    <x v="2"/>
    <n v="98"/>
    <n v="113.33"/>
    <n v="392"/>
    <n v="453.32"/>
    <x v="19"/>
    <x v="0"/>
    <x v="0"/>
  </r>
  <r>
    <d v="2025-01-29T00:00:00"/>
    <s v="P0008"/>
    <n v="9"/>
    <x v="2"/>
    <x v="1"/>
    <n v="0"/>
    <x v="20"/>
    <x v="2"/>
    <x v="2"/>
    <n v="60"/>
    <n v="70.41"/>
    <n v="540"/>
    <n v="633.68999999999994"/>
    <x v="19"/>
    <x v="0"/>
    <x v="0"/>
  </r>
  <r>
    <d v="2025-01-29T00:00:00"/>
    <s v="P0030"/>
    <n v="3"/>
    <x v="1"/>
    <x v="0"/>
    <n v="0"/>
    <x v="16"/>
    <x v="1"/>
    <x v="2"/>
    <n v="79"/>
    <n v="89.73"/>
    <n v="237"/>
    <n v="269.19"/>
    <x v="19"/>
    <x v="0"/>
    <x v="0"/>
  </r>
  <r>
    <d v="2025-01-29T00:00:00"/>
    <s v="P0020"/>
    <n v="11"/>
    <x v="1"/>
    <x v="1"/>
    <n v="0"/>
    <x v="21"/>
    <x v="0"/>
    <x v="1"/>
    <n v="61"/>
    <n v="70.2"/>
    <n v="671"/>
    <n v="772.2"/>
    <x v="19"/>
    <x v="0"/>
    <x v="0"/>
  </r>
  <r>
    <d v="2025-01-29T00:00:00"/>
    <s v="P0015"/>
    <n v="10"/>
    <x v="2"/>
    <x v="0"/>
    <n v="0.02"/>
    <x v="22"/>
    <x v="0"/>
    <x v="3"/>
    <n v="130"/>
    <n v="147.86000000000001"/>
    <n v="1300"/>
    <n v="1478.6000000000001"/>
    <x v="19"/>
    <x v="0"/>
    <x v="0"/>
  </r>
  <r>
    <d v="2025-01-30T00:00:00"/>
    <s v="P0005"/>
    <n v="11"/>
    <x v="1"/>
    <x v="0"/>
    <n v="0"/>
    <x v="23"/>
    <x v="4"/>
    <x v="1"/>
    <n v="52"/>
    <n v="60.06"/>
    <n v="572"/>
    <n v="660.66000000000008"/>
    <x v="20"/>
    <x v="0"/>
    <x v="0"/>
  </r>
  <r>
    <d v="2025-01-30T00:00:00"/>
    <s v="P0036"/>
    <n v="7"/>
    <x v="0"/>
    <x v="1"/>
    <n v="0.08"/>
    <x v="13"/>
    <x v="3"/>
    <x v="2"/>
    <n v="102"/>
    <n v="103.25"/>
    <n v="714"/>
    <n v="722.75"/>
    <x v="20"/>
    <x v="0"/>
    <x v="0"/>
  </r>
  <r>
    <d v="2025-01-31T00:00:00"/>
    <s v="P0037"/>
    <n v="6"/>
    <x v="1"/>
    <x v="1"/>
    <n v="0"/>
    <x v="24"/>
    <x v="3"/>
    <x v="2"/>
    <n v="67"/>
    <n v="77.08"/>
    <n v="402"/>
    <n v="462.48"/>
    <x v="21"/>
    <x v="0"/>
    <x v="0"/>
  </r>
  <r>
    <d v="2025-02-01T00:00:00"/>
    <s v="P0029"/>
    <n v="2"/>
    <x v="0"/>
    <x v="0"/>
    <n v="0.02"/>
    <x v="25"/>
    <x v="1"/>
    <x v="1"/>
    <n v="47"/>
    <n v="49.92"/>
    <n v="94"/>
    <n v="99.84"/>
    <x v="22"/>
    <x v="1"/>
    <x v="0"/>
  </r>
  <r>
    <d v="2025-02-03T00:00:00"/>
    <s v="P0022"/>
    <n v="2"/>
    <x v="1"/>
    <x v="0"/>
    <n v="0"/>
    <x v="10"/>
    <x v="0"/>
    <x v="3"/>
    <n v="110"/>
    <n v="126.76"/>
    <n v="220"/>
    <n v="253.52"/>
    <x v="1"/>
    <x v="1"/>
    <x v="0"/>
  </r>
  <r>
    <d v="2025-02-04T00:00:00"/>
    <s v="P0010"/>
    <n v="1"/>
    <x v="2"/>
    <x v="0"/>
    <n v="0"/>
    <x v="26"/>
    <x v="2"/>
    <x v="2"/>
    <n v="105"/>
    <n v="119.89"/>
    <n v="105"/>
    <n v="119.89"/>
    <x v="2"/>
    <x v="1"/>
    <x v="0"/>
  </r>
  <r>
    <d v="2025-02-04T00:00:00"/>
    <s v="P0006"/>
    <n v="7"/>
    <x v="1"/>
    <x v="0"/>
    <n v="0"/>
    <x v="9"/>
    <x v="4"/>
    <x v="2"/>
    <n v="75"/>
    <n v="84.9"/>
    <n v="525"/>
    <n v="594.30000000000007"/>
    <x v="2"/>
    <x v="1"/>
    <x v="0"/>
  </r>
  <r>
    <d v="2025-02-05T00:00:00"/>
    <s v="P0039"/>
    <n v="2"/>
    <x v="1"/>
    <x v="1"/>
    <n v="0"/>
    <x v="27"/>
    <x v="3"/>
    <x v="1"/>
    <n v="41"/>
    <n v="48.14"/>
    <n v="82"/>
    <n v="96.28"/>
    <x v="23"/>
    <x v="1"/>
    <x v="0"/>
  </r>
  <r>
    <d v="2025-02-05T00:00:00"/>
    <s v="P0031"/>
    <n v="1"/>
    <x v="2"/>
    <x v="1"/>
    <n v="0"/>
    <x v="28"/>
    <x v="1"/>
    <x v="2"/>
    <n v="93"/>
    <n v="107.56"/>
    <n v="93"/>
    <n v="107.56"/>
    <x v="23"/>
    <x v="1"/>
    <x v="0"/>
  </r>
  <r>
    <d v="2025-02-06T00:00:00"/>
    <s v="P0039"/>
    <n v="11"/>
    <x v="2"/>
    <x v="1"/>
    <n v="0"/>
    <x v="27"/>
    <x v="3"/>
    <x v="1"/>
    <n v="41"/>
    <n v="45.84"/>
    <n v="451"/>
    <n v="504.24"/>
    <x v="24"/>
    <x v="1"/>
    <x v="0"/>
  </r>
  <r>
    <d v="2025-02-07T00:00:00"/>
    <s v="P0030"/>
    <n v="7"/>
    <x v="0"/>
    <x v="1"/>
    <n v="0"/>
    <x v="16"/>
    <x v="1"/>
    <x v="2"/>
    <n v="79"/>
    <n v="88.48"/>
    <n v="553"/>
    <n v="619.36"/>
    <x v="3"/>
    <x v="1"/>
    <x v="0"/>
  </r>
  <r>
    <d v="2025-02-07T00:00:00"/>
    <s v="P0029"/>
    <n v="8"/>
    <x v="1"/>
    <x v="0"/>
    <n v="0"/>
    <x v="25"/>
    <x v="1"/>
    <x v="1"/>
    <n v="47"/>
    <n v="54.66"/>
    <n v="376"/>
    <n v="437.28"/>
    <x v="3"/>
    <x v="1"/>
    <x v="0"/>
  </r>
  <r>
    <d v="2025-02-08T00:00:00"/>
    <s v="P0043"/>
    <n v="1"/>
    <x v="1"/>
    <x v="0"/>
    <n v="0"/>
    <x v="29"/>
    <x v="3"/>
    <x v="0"/>
    <n v="11"/>
    <n v="12.57"/>
    <n v="11"/>
    <n v="12.57"/>
    <x v="4"/>
    <x v="1"/>
    <x v="0"/>
  </r>
  <r>
    <d v="2025-02-08T00:00:00"/>
    <s v="P0022"/>
    <n v="10"/>
    <x v="1"/>
    <x v="0"/>
    <n v="0"/>
    <x v="10"/>
    <x v="0"/>
    <x v="3"/>
    <n v="110"/>
    <n v="122.39"/>
    <n v="1100"/>
    <n v="1223.9000000000001"/>
    <x v="4"/>
    <x v="1"/>
    <x v="0"/>
  </r>
  <r>
    <d v="2025-02-08T00:00:00"/>
    <s v="P0041"/>
    <n v="13"/>
    <x v="0"/>
    <x v="1"/>
    <n v="0"/>
    <x v="8"/>
    <x v="3"/>
    <x v="3"/>
    <n v="98"/>
    <n v="112.65"/>
    <n v="1274"/>
    <n v="1464.45"/>
    <x v="4"/>
    <x v="1"/>
    <x v="0"/>
  </r>
  <r>
    <d v="2025-02-09T00:00:00"/>
    <s v="P0019"/>
    <n v="4"/>
    <x v="2"/>
    <x v="0"/>
    <n v="0"/>
    <x v="12"/>
    <x v="0"/>
    <x v="2"/>
    <n v="67"/>
    <n v="72.900000000000006"/>
    <n v="268"/>
    <n v="291.60000000000002"/>
    <x v="5"/>
    <x v="1"/>
    <x v="0"/>
  </r>
  <r>
    <d v="2025-02-09T00:00:00"/>
    <s v="P0042"/>
    <n v="14"/>
    <x v="0"/>
    <x v="1"/>
    <n v="0"/>
    <x v="30"/>
    <x v="3"/>
    <x v="3"/>
    <n v="120"/>
    <n v="135.15"/>
    <n v="1680"/>
    <n v="1892.1000000000001"/>
    <x v="5"/>
    <x v="1"/>
    <x v="0"/>
  </r>
  <r>
    <d v="2025-02-10T00:00:00"/>
    <s v="P0015"/>
    <n v="14"/>
    <x v="2"/>
    <x v="0"/>
    <n v="0"/>
    <x v="22"/>
    <x v="0"/>
    <x v="3"/>
    <n v="130"/>
    <n v="151.24"/>
    <n v="1820"/>
    <n v="2117.36"/>
    <x v="6"/>
    <x v="1"/>
    <x v="0"/>
  </r>
  <r>
    <d v="2025-02-10T00:00:00"/>
    <s v="P0028"/>
    <n v="10"/>
    <x v="0"/>
    <x v="1"/>
    <n v="0"/>
    <x v="31"/>
    <x v="1"/>
    <x v="1"/>
    <n v="53"/>
    <n v="57.66"/>
    <n v="530"/>
    <n v="576.59999999999991"/>
    <x v="6"/>
    <x v="1"/>
    <x v="0"/>
  </r>
  <r>
    <d v="2025-02-11T00:00:00"/>
    <s v="P0044"/>
    <n v="11"/>
    <x v="0"/>
    <x v="1"/>
    <n v="0"/>
    <x v="32"/>
    <x v="3"/>
    <x v="2"/>
    <n v="76"/>
    <n v="83.44"/>
    <n v="836"/>
    <n v="917.83999999999992"/>
    <x v="25"/>
    <x v="1"/>
    <x v="0"/>
  </r>
  <r>
    <d v="2025-02-12T00:00:00"/>
    <s v="P0042"/>
    <n v="7"/>
    <x v="2"/>
    <x v="0"/>
    <n v="0"/>
    <x v="30"/>
    <x v="3"/>
    <x v="3"/>
    <n v="120"/>
    <n v="132.72"/>
    <n v="840"/>
    <n v="929.04"/>
    <x v="26"/>
    <x v="1"/>
    <x v="0"/>
  </r>
  <r>
    <d v="2025-02-12T00:00:00"/>
    <s v="P0032"/>
    <n v="14"/>
    <x v="2"/>
    <x v="0"/>
    <n v="0"/>
    <x v="33"/>
    <x v="1"/>
    <x v="2"/>
    <n v="89"/>
    <n v="103.76"/>
    <n v="1246"/>
    <n v="1452.64"/>
    <x v="26"/>
    <x v="1"/>
    <x v="0"/>
  </r>
  <r>
    <d v="2025-02-12T00:00:00"/>
    <s v="P0018"/>
    <n v="3"/>
    <x v="2"/>
    <x v="1"/>
    <n v="0"/>
    <x v="11"/>
    <x v="0"/>
    <x v="0"/>
    <n v="8"/>
    <n v="8.89"/>
    <n v="24"/>
    <n v="26.67"/>
    <x v="26"/>
    <x v="1"/>
    <x v="0"/>
  </r>
  <r>
    <d v="2025-02-13T00:00:00"/>
    <s v="P0020"/>
    <n v="9"/>
    <x v="2"/>
    <x v="0"/>
    <n v="0"/>
    <x v="21"/>
    <x v="0"/>
    <x v="1"/>
    <n v="61"/>
    <n v="69.97"/>
    <n v="549"/>
    <n v="629.73"/>
    <x v="27"/>
    <x v="1"/>
    <x v="0"/>
  </r>
  <r>
    <d v="2025-02-13T00:00:00"/>
    <s v="P0008"/>
    <n v="14"/>
    <x v="0"/>
    <x v="1"/>
    <n v="0.08"/>
    <x v="20"/>
    <x v="2"/>
    <x v="2"/>
    <n v="60"/>
    <n v="62.13"/>
    <n v="840"/>
    <n v="869.82"/>
    <x v="27"/>
    <x v="1"/>
    <x v="0"/>
  </r>
  <r>
    <d v="2025-02-13T00:00:00"/>
    <s v="P0038"/>
    <n v="2"/>
    <x v="1"/>
    <x v="0"/>
    <n v="0.02"/>
    <x v="34"/>
    <x v="3"/>
    <x v="2"/>
    <n v="72"/>
    <n v="79.27"/>
    <n v="144"/>
    <n v="158.54"/>
    <x v="27"/>
    <x v="1"/>
    <x v="0"/>
  </r>
  <r>
    <d v="2025-02-14T00:00:00"/>
    <s v="P0026"/>
    <n v="11"/>
    <x v="2"/>
    <x v="1"/>
    <n v="0"/>
    <x v="35"/>
    <x v="1"/>
    <x v="2"/>
    <n v="56"/>
    <n v="65.72"/>
    <n v="616"/>
    <n v="722.92"/>
    <x v="7"/>
    <x v="1"/>
    <x v="0"/>
  </r>
  <r>
    <d v="2025-02-14T00:00:00"/>
    <s v="P0012"/>
    <n v="7"/>
    <x v="2"/>
    <x v="0"/>
    <n v="0"/>
    <x v="14"/>
    <x v="2"/>
    <x v="1"/>
    <n v="58"/>
    <n v="63.16"/>
    <n v="406"/>
    <n v="442.12"/>
    <x v="7"/>
    <x v="1"/>
    <x v="0"/>
  </r>
  <r>
    <d v="2025-02-14T00:00:00"/>
    <s v="P0029"/>
    <n v="14"/>
    <x v="0"/>
    <x v="1"/>
    <n v="0.08"/>
    <x v="25"/>
    <x v="1"/>
    <x v="1"/>
    <n v="47"/>
    <n v="50.43"/>
    <n v="658"/>
    <n v="706.02"/>
    <x v="7"/>
    <x v="1"/>
    <x v="0"/>
  </r>
  <r>
    <d v="2025-02-16T00:00:00"/>
    <s v="P0019"/>
    <n v="6"/>
    <x v="1"/>
    <x v="1"/>
    <n v="0"/>
    <x v="12"/>
    <x v="0"/>
    <x v="2"/>
    <n v="67"/>
    <n v="77.63"/>
    <n v="402"/>
    <n v="465.78"/>
    <x v="9"/>
    <x v="1"/>
    <x v="0"/>
  </r>
  <r>
    <d v="2025-02-16T00:00:00"/>
    <s v="P0043"/>
    <n v="4"/>
    <x v="1"/>
    <x v="1"/>
    <n v="0.05"/>
    <x v="29"/>
    <x v="3"/>
    <x v="0"/>
    <n v="11"/>
    <n v="11.54"/>
    <n v="44"/>
    <n v="46.16"/>
    <x v="9"/>
    <x v="1"/>
    <x v="0"/>
  </r>
  <r>
    <d v="2025-02-16T00:00:00"/>
    <s v="P0006"/>
    <n v="2"/>
    <x v="2"/>
    <x v="0"/>
    <n v="0"/>
    <x v="9"/>
    <x v="4"/>
    <x v="2"/>
    <n v="75"/>
    <n v="85.17"/>
    <n v="150"/>
    <n v="170.34"/>
    <x v="9"/>
    <x v="1"/>
    <x v="0"/>
  </r>
  <r>
    <d v="2025-02-16T00:00:00"/>
    <s v="P0011"/>
    <n v="13"/>
    <x v="1"/>
    <x v="1"/>
    <n v="0"/>
    <x v="3"/>
    <x v="2"/>
    <x v="2"/>
    <n v="47"/>
    <n v="54.79"/>
    <n v="611"/>
    <n v="712.27"/>
    <x v="9"/>
    <x v="1"/>
    <x v="0"/>
  </r>
  <r>
    <d v="2025-02-17T00:00:00"/>
    <s v="P0030"/>
    <n v="11"/>
    <x v="1"/>
    <x v="0"/>
    <n v="0"/>
    <x v="16"/>
    <x v="1"/>
    <x v="2"/>
    <n v="79"/>
    <n v="91.61"/>
    <n v="869"/>
    <n v="1007.71"/>
    <x v="10"/>
    <x v="1"/>
    <x v="0"/>
  </r>
  <r>
    <d v="2025-02-17T00:00:00"/>
    <s v="P0003"/>
    <n v="15"/>
    <x v="2"/>
    <x v="0"/>
    <n v="0"/>
    <x v="15"/>
    <x v="4"/>
    <x v="2"/>
    <n v="71"/>
    <n v="79.319999999999993"/>
    <n v="1065"/>
    <n v="1189.8"/>
    <x v="10"/>
    <x v="1"/>
    <x v="0"/>
  </r>
  <r>
    <d v="2025-02-18T00:00:00"/>
    <s v="P0034"/>
    <n v="15"/>
    <x v="2"/>
    <x v="1"/>
    <n v="0"/>
    <x v="36"/>
    <x v="1"/>
    <x v="1"/>
    <n v="55"/>
    <n v="63.21"/>
    <n v="825"/>
    <n v="948.15"/>
    <x v="11"/>
    <x v="1"/>
    <x v="0"/>
  </r>
  <r>
    <d v="2025-02-19T00:00:00"/>
    <s v="P0043"/>
    <n v="7"/>
    <x v="2"/>
    <x v="0"/>
    <n v="0"/>
    <x v="29"/>
    <x v="3"/>
    <x v="0"/>
    <n v="11"/>
    <n v="12.68"/>
    <n v="77"/>
    <n v="88.759999999999991"/>
    <x v="12"/>
    <x v="1"/>
    <x v="0"/>
  </r>
  <r>
    <d v="2025-02-19T00:00:00"/>
    <s v="P0016"/>
    <n v="15"/>
    <x v="1"/>
    <x v="0"/>
    <n v="0"/>
    <x v="19"/>
    <x v="0"/>
    <x v="3"/>
    <n v="95"/>
    <n v="108.97"/>
    <n v="1425"/>
    <n v="1634.55"/>
    <x v="12"/>
    <x v="1"/>
    <x v="0"/>
  </r>
  <r>
    <d v="2025-02-19T00:00:00"/>
    <s v="P0004"/>
    <n v="7"/>
    <x v="1"/>
    <x v="0"/>
    <n v="0"/>
    <x v="37"/>
    <x v="4"/>
    <x v="1"/>
    <n v="44"/>
    <n v="49.11"/>
    <n v="308"/>
    <n v="343.77"/>
    <x v="12"/>
    <x v="1"/>
    <x v="0"/>
  </r>
  <r>
    <d v="2025-02-21T00:00:00"/>
    <s v="P0016"/>
    <n v="11"/>
    <x v="2"/>
    <x v="1"/>
    <n v="0"/>
    <x v="19"/>
    <x v="0"/>
    <x v="3"/>
    <n v="95"/>
    <n v="111.6"/>
    <n v="1045"/>
    <n v="1227.5999999999999"/>
    <x v="14"/>
    <x v="1"/>
    <x v="0"/>
  </r>
  <r>
    <d v="2025-02-22T00:00:00"/>
    <s v="P0042"/>
    <n v="13"/>
    <x v="2"/>
    <x v="1"/>
    <n v="0"/>
    <x v="30"/>
    <x v="3"/>
    <x v="3"/>
    <n v="120"/>
    <n v="133.78"/>
    <n v="1560"/>
    <n v="1739.14"/>
    <x v="28"/>
    <x v="1"/>
    <x v="0"/>
  </r>
  <r>
    <d v="2025-02-22T00:00:00"/>
    <s v="P0007"/>
    <n v="6"/>
    <x v="2"/>
    <x v="0"/>
    <n v="0"/>
    <x v="38"/>
    <x v="2"/>
    <x v="2"/>
    <n v="88"/>
    <n v="101.85"/>
    <n v="528"/>
    <n v="611.09999999999991"/>
    <x v="28"/>
    <x v="1"/>
    <x v="0"/>
  </r>
  <r>
    <d v="2025-02-23T00:00:00"/>
    <s v="P0014"/>
    <n v="9"/>
    <x v="0"/>
    <x v="0"/>
    <n v="0.02"/>
    <x v="2"/>
    <x v="2"/>
    <x v="2"/>
    <n v="112"/>
    <n v="126.35"/>
    <n v="1008"/>
    <n v="1137.1499999999999"/>
    <x v="15"/>
    <x v="1"/>
    <x v="0"/>
  </r>
  <r>
    <d v="2025-02-24T00:00:00"/>
    <s v="P0028"/>
    <n v="6"/>
    <x v="1"/>
    <x v="0"/>
    <n v="0"/>
    <x v="31"/>
    <x v="1"/>
    <x v="1"/>
    <n v="53"/>
    <n v="59.55"/>
    <n v="318"/>
    <n v="357.29999999999995"/>
    <x v="16"/>
    <x v="1"/>
    <x v="0"/>
  </r>
  <r>
    <d v="2025-02-24T00:00:00"/>
    <s v="P0006"/>
    <n v="1"/>
    <x v="0"/>
    <x v="0"/>
    <n v="0.08"/>
    <x v="9"/>
    <x v="4"/>
    <x v="2"/>
    <n v="75"/>
    <n v="75.23"/>
    <n v="75"/>
    <n v="75.23"/>
    <x v="16"/>
    <x v="1"/>
    <x v="0"/>
  </r>
  <r>
    <d v="2025-02-25T00:00:00"/>
    <s v="P0016"/>
    <n v="4"/>
    <x v="2"/>
    <x v="0"/>
    <n v="0"/>
    <x v="19"/>
    <x v="0"/>
    <x v="3"/>
    <n v="95"/>
    <n v="104.34"/>
    <n v="380"/>
    <n v="417.36"/>
    <x v="29"/>
    <x v="1"/>
    <x v="0"/>
  </r>
  <r>
    <d v="2025-02-25T00:00:00"/>
    <s v="P0025"/>
    <n v="14"/>
    <x v="2"/>
    <x v="0"/>
    <n v="0"/>
    <x v="0"/>
    <x v="0"/>
    <x v="0"/>
    <n v="7"/>
    <n v="8.1300000000000008"/>
    <n v="98"/>
    <n v="113.82000000000001"/>
    <x v="29"/>
    <x v="1"/>
    <x v="0"/>
  </r>
  <r>
    <d v="2025-02-27T00:00:00"/>
    <s v="P0003"/>
    <n v="13"/>
    <x v="1"/>
    <x v="1"/>
    <n v="0"/>
    <x v="15"/>
    <x v="4"/>
    <x v="2"/>
    <n v="71"/>
    <n v="77.16"/>
    <n v="923"/>
    <n v="1003.0799999999999"/>
    <x v="17"/>
    <x v="1"/>
    <x v="0"/>
  </r>
  <r>
    <d v="2025-02-28T00:00:00"/>
    <s v="P0011"/>
    <n v="5"/>
    <x v="2"/>
    <x v="1"/>
    <n v="0"/>
    <x v="3"/>
    <x v="2"/>
    <x v="2"/>
    <n v="47"/>
    <n v="53.47"/>
    <n v="235"/>
    <n v="267.35000000000002"/>
    <x v="18"/>
    <x v="1"/>
    <x v="0"/>
  </r>
  <r>
    <d v="2025-02-28T00:00:00"/>
    <s v="P0005"/>
    <n v="7"/>
    <x v="1"/>
    <x v="1"/>
    <n v="0"/>
    <x v="23"/>
    <x v="4"/>
    <x v="1"/>
    <n v="52"/>
    <n v="60.38"/>
    <n v="364"/>
    <n v="422.66"/>
    <x v="18"/>
    <x v="1"/>
    <x v="0"/>
  </r>
  <r>
    <d v="2025-02-28T00:00:00"/>
    <s v="P0030"/>
    <n v="2"/>
    <x v="1"/>
    <x v="1"/>
    <n v="0"/>
    <x v="16"/>
    <x v="1"/>
    <x v="2"/>
    <n v="79"/>
    <n v="90.98"/>
    <n v="158"/>
    <n v="181.96"/>
    <x v="18"/>
    <x v="1"/>
    <x v="0"/>
  </r>
  <r>
    <d v="2025-02-28T00:00:00"/>
    <s v="P0018"/>
    <n v="10"/>
    <x v="2"/>
    <x v="0"/>
    <n v="0"/>
    <x v="11"/>
    <x v="0"/>
    <x v="0"/>
    <n v="8"/>
    <n v="9.42"/>
    <n v="80"/>
    <n v="94.2"/>
    <x v="18"/>
    <x v="1"/>
    <x v="0"/>
  </r>
  <r>
    <d v="2025-03-01T00:00:00"/>
    <s v="P0025"/>
    <n v="15"/>
    <x v="1"/>
    <x v="0"/>
    <n v="0.05"/>
    <x v="0"/>
    <x v="0"/>
    <x v="0"/>
    <n v="7"/>
    <n v="7.18"/>
    <n v="105"/>
    <n v="107.69999999999999"/>
    <x v="22"/>
    <x v="2"/>
    <x v="0"/>
  </r>
  <r>
    <d v="2025-03-01T00:00:00"/>
    <s v="P0012"/>
    <n v="6"/>
    <x v="1"/>
    <x v="0"/>
    <n v="0"/>
    <x v="14"/>
    <x v="2"/>
    <x v="1"/>
    <n v="58"/>
    <n v="63.44"/>
    <n v="348"/>
    <n v="380.64"/>
    <x v="22"/>
    <x v="2"/>
    <x v="0"/>
  </r>
  <r>
    <d v="2025-03-05T00:00:00"/>
    <s v="P0024"/>
    <n v="7"/>
    <x v="0"/>
    <x v="0"/>
    <n v="0"/>
    <x v="39"/>
    <x v="0"/>
    <x v="3"/>
    <n v="144"/>
    <n v="169.54"/>
    <n v="1008"/>
    <n v="1186.78"/>
    <x v="23"/>
    <x v="2"/>
    <x v="0"/>
  </r>
  <r>
    <d v="2025-03-06T00:00:00"/>
    <s v="P0041"/>
    <n v="14"/>
    <x v="1"/>
    <x v="1"/>
    <n v="0"/>
    <x v="8"/>
    <x v="3"/>
    <x v="3"/>
    <n v="98"/>
    <n v="111.47"/>
    <n v="1372"/>
    <n v="1560.58"/>
    <x v="24"/>
    <x v="2"/>
    <x v="0"/>
  </r>
  <r>
    <d v="2025-03-06T00:00:00"/>
    <s v="P0037"/>
    <n v="4"/>
    <x v="2"/>
    <x v="1"/>
    <n v="0"/>
    <x v="24"/>
    <x v="3"/>
    <x v="2"/>
    <n v="67"/>
    <n v="77.81"/>
    <n v="268"/>
    <n v="311.24"/>
    <x v="24"/>
    <x v="2"/>
    <x v="0"/>
  </r>
  <r>
    <d v="2025-03-07T00:00:00"/>
    <s v="P0003"/>
    <n v="5"/>
    <x v="2"/>
    <x v="1"/>
    <n v="0"/>
    <x v="15"/>
    <x v="4"/>
    <x v="2"/>
    <n v="71"/>
    <n v="78.17"/>
    <n v="355"/>
    <n v="390.85"/>
    <x v="3"/>
    <x v="2"/>
    <x v="0"/>
  </r>
  <r>
    <d v="2025-03-07T00:00:00"/>
    <s v="P0040"/>
    <n v="9"/>
    <x v="2"/>
    <x v="0"/>
    <n v="0"/>
    <x v="40"/>
    <x v="3"/>
    <x v="2"/>
    <n v="90"/>
    <n v="103.17"/>
    <n v="810"/>
    <n v="928.53"/>
    <x v="3"/>
    <x v="2"/>
    <x v="0"/>
  </r>
  <r>
    <d v="2025-03-07T00:00:00"/>
    <s v="P0006"/>
    <n v="15"/>
    <x v="0"/>
    <x v="0"/>
    <n v="0.1"/>
    <x v="9"/>
    <x v="4"/>
    <x v="2"/>
    <n v="75"/>
    <n v="73.239999999999995"/>
    <n v="1125"/>
    <n v="1098.5999999999999"/>
    <x v="3"/>
    <x v="2"/>
    <x v="0"/>
  </r>
  <r>
    <d v="2025-03-08T00:00:00"/>
    <s v="P0035"/>
    <n v="5"/>
    <x v="1"/>
    <x v="1"/>
    <n v="0"/>
    <x v="6"/>
    <x v="1"/>
    <x v="0"/>
    <n v="5"/>
    <n v="5.41"/>
    <n v="25"/>
    <n v="27.05"/>
    <x v="4"/>
    <x v="2"/>
    <x v="0"/>
  </r>
  <r>
    <d v="2025-03-08T00:00:00"/>
    <s v="P0040"/>
    <n v="15"/>
    <x v="2"/>
    <x v="0"/>
    <n v="0"/>
    <x v="40"/>
    <x v="3"/>
    <x v="2"/>
    <n v="90"/>
    <n v="103.65"/>
    <n v="1350"/>
    <n v="1554.75"/>
    <x v="4"/>
    <x v="2"/>
    <x v="0"/>
  </r>
  <r>
    <d v="2025-03-08T00:00:00"/>
    <s v="P0016"/>
    <n v="5"/>
    <x v="2"/>
    <x v="0"/>
    <n v="0"/>
    <x v="19"/>
    <x v="0"/>
    <x v="3"/>
    <n v="95"/>
    <n v="106.33"/>
    <n v="475"/>
    <n v="531.65"/>
    <x v="4"/>
    <x v="2"/>
    <x v="0"/>
  </r>
  <r>
    <d v="2025-03-09T00:00:00"/>
    <s v="P0037"/>
    <n v="10"/>
    <x v="1"/>
    <x v="0"/>
    <n v="0"/>
    <x v="24"/>
    <x v="3"/>
    <x v="2"/>
    <n v="67"/>
    <n v="73.64"/>
    <n v="670"/>
    <n v="736.4"/>
    <x v="5"/>
    <x v="2"/>
    <x v="0"/>
  </r>
  <r>
    <d v="2025-03-10T00:00:00"/>
    <s v="P0017"/>
    <n v="2"/>
    <x v="0"/>
    <x v="1"/>
    <n v="0.05"/>
    <x v="4"/>
    <x v="0"/>
    <x v="0"/>
    <n v="12"/>
    <n v="13.13"/>
    <n v="24"/>
    <n v="26.26"/>
    <x v="6"/>
    <x v="2"/>
    <x v="0"/>
  </r>
  <r>
    <d v="2025-03-10T00:00:00"/>
    <s v="P0030"/>
    <n v="11"/>
    <x v="1"/>
    <x v="0"/>
    <n v="0"/>
    <x v="16"/>
    <x v="1"/>
    <x v="2"/>
    <n v="79"/>
    <n v="92.36"/>
    <n v="869"/>
    <n v="1015.96"/>
    <x v="6"/>
    <x v="2"/>
    <x v="0"/>
  </r>
  <r>
    <d v="2025-03-10T00:00:00"/>
    <s v="P0042"/>
    <n v="11"/>
    <x v="2"/>
    <x v="1"/>
    <n v="0"/>
    <x v="30"/>
    <x v="3"/>
    <x v="3"/>
    <n v="120"/>
    <n v="131.57"/>
    <n v="1320"/>
    <n v="1447.27"/>
    <x v="6"/>
    <x v="2"/>
    <x v="0"/>
  </r>
  <r>
    <d v="2025-03-11T00:00:00"/>
    <s v="P0005"/>
    <n v="12"/>
    <x v="1"/>
    <x v="0"/>
    <n v="0.02"/>
    <x v="23"/>
    <x v="4"/>
    <x v="1"/>
    <n v="52"/>
    <n v="55.26"/>
    <n v="624"/>
    <n v="663.12"/>
    <x v="25"/>
    <x v="2"/>
    <x v="0"/>
  </r>
  <r>
    <d v="2025-03-13T00:00:00"/>
    <s v="P0035"/>
    <n v="8"/>
    <x v="2"/>
    <x v="1"/>
    <n v="0"/>
    <x v="6"/>
    <x v="1"/>
    <x v="0"/>
    <n v="5"/>
    <n v="5.82"/>
    <n v="40"/>
    <n v="46.56"/>
    <x v="27"/>
    <x v="2"/>
    <x v="0"/>
  </r>
  <r>
    <d v="2025-03-13T00:00:00"/>
    <s v="P0012"/>
    <n v="6"/>
    <x v="0"/>
    <x v="1"/>
    <n v="0"/>
    <x v="14"/>
    <x v="2"/>
    <x v="1"/>
    <n v="58"/>
    <n v="65.45"/>
    <n v="348"/>
    <n v="392.70000000000005"/>
    <x v="27"/>
    <x v="2"/>
    <x v="0"/>
  </r>
  <r>
    <d v="2025-03-14T00:00:00"/>
    <s v="P0008"/>
    <n v="14"/>
    <x v="1"/>
    <x v="0"/>
    <n v="0"/>
    <x v="20"/>
    <x v="2"/>
    <x v="2"/>
    <n v="60"/>
    <n v="67.040000000000006"/>
    <n v="840"/>
    <n v="938.56000000000006"/>
    <x v="7"/>
    <x v="2"/>
    <x v="0"/>
  </r>
  <r>
    <d v="2025-03-16T00:00:00"/>
    <s v="P0009"/>
    <n v="1"/>
    <x v="2"/>
    <x v="0"/>
    <n v="0"/>
    <x v="41"/>
    <x v="2"/>
    <x v="1"/>
    <n v="39"/>
    <n v="42.66"/>
    <n v="39"/>
    <n v="42.66"/>
    <x v="9"/>
    <x v="2"/>
    <x v="0"/>
  </r>
  <r>
    <d v="2025-03-17T00:00:00"/>
    <s v="P0042"/>
    <n v="12"/>
    <x v="2"/>
    <x v="1"/>
    <n v="0"/>
    <x v="30"/>
    <x v="3"/>
    <x v="3"/>
    <n v="120"/>
    <n v="132.22999999999999"/>
    <n v="1440"/>
    <n v="1586.7599999999998"/>
    <x v="10"/>
    <x v="2"/>
    <x v="0"/>
  </r>
  <r>
    <d v="2025-03-17T00:00:00"/>
    <s v="P0005"/>
    <n v="3"/>
    <x v="2"/>
    <x v="0"/>
    <n v="0"/>
    <x v="23"/>
    <x v="4"/>
    <x v="1"/>
    <n v="52"/>
    <n v="59.27"/>
    <n v="156"/>
    <n v="177.81"/>
    <x v="10"/>
    <x v="2"/>
    <x v="0"/>
  </r>
  <r>
    <d v="2025-03-17T00:00:00"/>
    <s v="P0006"/>
    <n v="12"/>
    <x v="2"/>
    <x v="0"/>
    <n v="0"/>
    <x v="9"/>
    <x v="4"/>
    <x v="2"/>
    <n v="75"/>
    <n v="81.37"/>
    <n v="900"/>
    <n v="976.44"/>
    <x v="10"/>
    <x v="2"/>
    <x v="0"/>
  </r>
  <r>
    <d v="2025-03-18T00:00:00"/>
    <s v="P0039"/>
    <n v="15"/>
    <x v="1"/>
    <x v="0"/>
    <n v="0"/>
    <x v="27"/>
    <x v="3"/>
    <x v="1"/>
    <n v="41"/>
    <n v="45.59"/>
    <n v="615"/>
    <n v="683.85"/>
    <x v="11"/>
    <x v="2"/>
    <x v="0"/>
  </r>
  <r>
    <d v="2025-03-19T00:00:00"/>
    <s v="P0015"/>
    <n v="7"/>
    <x v="1"/>
    <x v="1"/>
    <n v="0.05"/>
    <x v="22"/>
    <x v="0"/>
    <x v="3"/>
    <n v="130"/>
    <n v="137.46"/>
    <n v="910"/>
    <n v="962.22"/>
    <x v="12"/>
    <x v="2"/>
    <x v="0"/>
  </r>
  <r>
    <d v="2025-03-19T00:00:00"/>
    <s v="P0029"/>
    <n v="2"/>
    <x v="1"/>
    <x v="0"/>
    <n v="0"/>
    <x v="25"/>
    <x v="1"/>
    <x v="1"/>
    <n v="47"/>
    <n v="53.54"/>
    <n v="94"/>
    <n v="107.08"/>
    <x v="12"/>
    <x v="2"/>
    <x v="0"/>
  </r>
  <r>
    <d v="2025-03-20T00:00:00"/>
    <s v="P0018"/>
    <n v="2"/>
    <x v="2"/>
    <x v="1"/>
    <n v="0"/>
    <x v="11"/>
    <x v="0"/>
    <x v="0"/>
    <n v="8"/>
    <n v="8.76"/>
    <n v="16"/>
    <n v="17.52"/>
    <x v="13"/>
    <x v="2"/>
    <x v="0"/>
  </r>
  <r>
    <d v="2025-03-21T00:00:00"/>
    <s v="P0005"/>
    <n v="8"/>
    <x v="1"/>
    <x v="0"/>
    <n v="0"/>
    <x v="23"/>
    <x v="4"/>
    <x v="1"/>
    <n v="52"/>
    <n v="59.76"/>
    <n v="416"/>
    <n v="478.08"/>
    <x v="14"/>
    <x v="2"/>
    <x v="0"/>
  </r>
  <r>
    <d v="2025-03-21T00:00:00"/>
    <s v="P0043"/>
    <n v="8"/>
    <x v="2"/>
    <x v="1"/>
    <n v="0"/>
    <x v="29"/>
    <x v="3"/>
    <x v="0"/>
    <n v="11"/>
    <n v="12.49"/>
    <n v="88"/>
    <n v="99.92"/>
    <x v="14"/>
    <x v="2"/>
    <x v="0"/>
  </r>
  <r>
    <d v="2025-03-21T00:00:00"/>
    <s v="P0005"/>
    <n v="5"/>
    <x v="0"/>
    <x v="1"/>
    <n v="0"/>
    <x v="23"/>
    <x v="4"/>
    <x v="1"/>
    <n v="52"/>
    <n v="60"/>
    <n v="260"/>
    <n v="300"/>
    <x v="14"/>
    <x v="2"/>
    <x v="0"/>
  </r>
  <r>
    <d v="2025-03-22T00:00:00"/>
    <s v="P0005"/>
    <n v="8"/>
    <x v="0"/>
    <x v="0"/>
    <n v="0"/>
    <x v="23"/>
    <x v="4"/>
    <x v="1"/>
    <n v="52"/>
    <n v="57.46"/>
    <n v="416"/>
    <n v="459.68"/>
    <x v="28"/>
    <x v="2"/>
    <x v="0"/>
  </r>
  <r>
    <d v="2025-03-22T00:00:00"/>
    <s v="P0027"/>
    <n v="11"/>
    <x v="0"/>
    <x v="0"/>
    <n v="0"/>
    <x v="1"/>
    <x v="1"/>
    <x v="1"/>
    <n v="48"/>
    <n v="56.47"/>
    <n v="528"/>
    <n v="621.16999999999996"/>
    <x v="28"/>
    <x v="2"/>
    <x v="0"/>
  </r>
  <r>
    <d v="2025-03-23T00:00:00"/>
    <s v="P0044"/>
    <n v="7"/>
    <x v="1"/>
    <x v="0"/>
    <n v="0"/>
    <x v="32"/>
    <x v="3"/>
    <x v="2"/>
    <n v="76"/>
    <n v="89.65"/>
    <n v="532"/>
    <n v="627.55000000000007"/>
    <x v="15"/>
    <x v="2"/>
    <x v="0"/>
  </r>
  <r>
    <d v="2025-03-23T00:00:00"/>
    <s v="P0002"/>
    <n v="3"/>
    <x v="0"/>
    <x v="0"/>
    <n v="0.02"/>
    <x v="42"/>
    <x v="4"/>
    <x v="2"/>
    <n v="65"/>
    <n v="70.3"/>
    <n v="195"/>
    <n v="210.89999999999998"/>
    <x v="15"/>
    <x v="2"/>
    <x v="0"/>
  </r>
  <r>
    <d v="2025-03-23T00:00:00"/>
    <s v="P0026"/>
    <n v="11"/>
    <x v="1"/>
    <x v="0"/>
    <n v="0"/>
    <x v="35"/>
    <x v="1"/>
    <x v="2"/>
    <n v="56"/>
    <n v="64.06"/>
    <n v="616"/>
    <n v="704.66000000000008"/>
    <x v="15"/>
    <x v="2"/>
    <x v="0"/>
  </r>
  <r>
    <d v="2025-03-24T00:00:00"/>
    <s v="P0005"/>
    <n v="9"/>
    <x v="0"/>
    <x v="1"/>
    <n v="0.1"/>
    <x v="23"/>
    <x v="4"/>
    <x v="1"/>
    <n v="52"/>
    <n v="53.84"/>
    <n v="468"/>
    <n v="484.56000000000006"/>
    <x v="16"/>
    <x v="2"/>
    <x v="0"/>
  </r>
  <r>
    <d v="2025-03-25T00:00:00"/>
    <s v="P0024"/>
    <n v="6"/>
    <x v="2"/>
    <x v="0"/>
    <n v="0"/>
    <x v="39"/>
    <x v="0"/>
    <x v="3"/>
    <n v="144"/>
    <n v="165.36"/>
    <n v="864"/>
    <n v="992.16000000000008"/>
    <x v="29"/>
    <x v="2"/>
    <x v="0"/>
  </r>
  <r>
    <d v="2025-03-27T00:00:00"/>
    <s v="P0027"/>
    <n v="8"/>
    <x v="1"/>
    <x v="0"/>
    <n v="0"/>
    <x v="1"/>
    <x v="1"/>
    <x v="1"/>
    <n v="48"/>
    <n v="52.63"/>
    <n v="384"/>
    <n v="421.04"/>
    <x v="17"/>
    <x v="2"/>
    <x v="0"/>
  </r>
  <r>
    <d v="2025-03-27T00:00:00"/>
    <s v="P0014"/>
    <n v="13"/>
    <x v="2"/>
    <x v="1"/>
    <n v="0"/>
    <x v="2"/>
    <x v="2"/>
    <x v="2"/>
    <n v="112"/>
    <n v="132.03"/>
    <n v="1456"/>
    <n v="1716.39"/>
    <x v="17"/>
    <x v="2"/>
    <x v="0"/>
  </r>
  <r>
    <d v="2025-03-28T00:00:00"/>
    <s v="P0043"/>
    <n v="2"/>
    <x v="2"/>
    <x v="0"/>
    <n v="0.02"/>
    <x v="29"/>
    <x v="3"/>
    <x v="0"/>
    <n v="11"/>
    <n v="12.37"/>
    <n v="22"/>
    <n v="24.74"/>
    <x v="18"/>
    <x v="2"/>
    <x v="0"/>
  </r>
  <r>
    <d v="2025-03-28T00:00:00"/>
    <s v="P0005"/>
    <n v="9"/>
    <x v="1"/>
    <x v="1"/>
    <n v="0"/>
    <x v="23"/>
    <x v="4"/>
    <x v="1"/>
    <n v="52"/>
    <n v="57.98"/>
    <n v="468"/>
    <n v="521.81999999999994"/>
    <x v="18"/>
    <x v="2"/>
    <x v="0"/>
  </r>
  <r>
    <d v="2025-03-29T00:00:00"/>
    <s v="P0043"/>
    <n v="10"/>
    <x v="1"/>
    <x v="0"/>
    <n v="0"/>
    <x v="29"/>
    <x v="3"/>
    <x v="0"/>
    <n v="11"/>
    <n v="12.5"/>
    <n v="110"/>
    <n v="125"/>
    <x v="19"/>
    <x v="2"/>
    <x v="0"/>
  </r>
  <r>
    <d v="2025-03-31T00:00:00"/>
    <s v="P0040"/>
    <n v="14"/>
    <x v="1"/>
    <x v="0"/>
    <n v="0"/>
    <x v="40"/>
    <x v="3"/>
    <x v="2"/>
    <n v="90"/>
    <n v="101.84"/>
    <n v="1260"/>
    <n v="1425.76"/>
    <x v="21"/>
    <x v="2"/>
    <x v="0"/>
  </r>
  <r>
    <d v="2025-04-02T00:00:00"/>
    <s v="P0007"/>
    <n v="15"/>
    <x v="2"/>
    <x v="1"/>
    <n v="0"/>
    <x v="38"/>
    <x v="2"/>
    <x v="2"/>
    <n v="88"/>
    <n v="100.49"/>
    <n v="1320"/>
    <n v="1507.35"/>
    <x v="0"/>
    <x v="3"/>
    <x v="0"/>
  </r>
  <r>
    <d v="2025-04-03T00:00:00"/>
    <s v="P0010"/>
    <n v="10"/>
    <x v="1"/>
    <x v="1"/>
    <n v="0"/>
    <x v="26"/>
    <x v="2"/>
    <x v="2"/>
    <n v="105"/>
    <n v="120.05"/>
    <n v="1050"/>
    <n v="1200.5"/>
    <x v="1"/>
    <x v="3"/>
    <x v="0"/>
  </r>
  <r>
    <d v="2025-04-03T00:00:00"/>
    <s v="P0045"/>
    <n v="13"/>
    <x v="1"/>
    <x v="1"/>
    <n v="0"/>
    <x v="5"/>
    <x v="3"/>
    <x v="1"/>
    <n v="63"/>
    <n v="68.319999999999993"/>
    <n v="819"/>
    <n v="888.15999999999985"/>
    <x v="1"/>
    <x v="3"/>
    <x v="0"/>
  </r>
  <r>
    <d v="2025-04-06T00:00:00"/>
    <s v="P0019"/>
    <n v="15"/>
    <x v="2"/>
    <x v="0"/>
    <n v="0"/>
    <x v="12"/>
    <x v="0"/>
    <x v="2"/>
    <n v="67"/>
    <n v="73.08"/>
    <n v="1005"/>
    <n v="1096.2"/>
    <x v="24"/>
    <x v="3"/>
    <x v="0"/>
  </r>
  <r>
    <d v="2025-04-06T00:00:00"/>
    <s v="P0001"/>
    <n v="12"/>
    <x v="2"/>
    <x v="0"/>
    <n v="0"/>
    <x v="17"/>
    <x v="4"/>
    <x v="2"/>
    <n v="98"/>
    <n v="113.26"/>
    <n v="1176"/>
    <n v="1359.1200000000001"/>
    <x v="24"/>
    <x v="3"/>
    <x v="0"/>
  </r>
  <r>
    <d v="2025-04-08T00:00:00"/>
    <s v="P0011"/>
    <n v="8"/>
    <x v="0"/>
    <x v="0"/>
    <n v="0"/>
    <x v="3"/>
    <x v="2"/>
    <x v="2"/>
    <n v="47"/>
    <n v="50.87"/>
    <n v="376"/>
    <n v="406.96"/>
    <x v="4"/>
    <x v="3"/>
    <x v="0"/>
  </r>
  <r>
    <d v="2025-04-10T00:00:00"/>
    <s v="P0024"/>
    <n v="9"/>
    <x v="2"/>
    <x v="0"/>
    <n v="0"/>
    <x v="39"/>
    <x v="0"/>
    <x v="3"/>
    <n v="144"/>
    <n v="166.53"/>
    <n v="1296"/>
    <n v="1498.77"/>
    <x v="6"/>
    <x v="3"/>
    <x v="0"/>
  </r>
  <r>
    <d v="2025-04-10T00:00:00"/>
    <s v="P0025"/>
    <n v="9"/>
    <x v="1"/>
    <x v="0"/>
    <n v="0"/>
    <x v="0"/>
    <x v="0"/>
    <x v="0"/>
    <n v="7"/>
    <n v="7.9"/>
    <n v="63"/>
    <n v="71.100000000000009"/>
    <x v="6"/>
    <x v="3"/>
    <x v="0"/>
  </r>
  <r>
    <d v="2025-04-13T00:00:00"/>
    <s v="P0002"/>
    <n v="10"/>
    <x v="2"/>
    <x v="1"/>
    <n v="0"/>
    <x v="42"/>
    <x v="4"/>
    <x v="2"/>
    <n v="65"/>
    <n v="70.94"/>
    <n v="650"/>
    <n v="709.4"/>
    <x v="27"/>
    <x v="3"/>
    <x v="0"/>
  </r>
  <r>
    <d v="2025-04-13T00:00:00"/>
    <s v="P0003"/>
    <n v="6"/>
    <x v="0"/>
    <x v="0"/>
    <n v="0"/>
    <x v="15"/>
    <x v="4"/>
    <x v="2"/>
    <n v="71"/>
    <n v="78.48"/>
    <n v="426"/>
    <n v="470.88"/>
    <x v="27"/>
    <x v="3"/>
    <x v="0"/>
  </r>
  <r>
    <d v="2025-04-13T00:00:00"/>
    <s v="P0042"/>
    <n v="15"/>
    <x v="1"/>
    <x v="1"/>
    <n v="0"/>
    <x v="30"/>
    <x v="3"/>
    <x v="3"/>
    <n v="120"/>
    <n v="139.22999999999999"/>
    <n v="1800"/>
    <n v="2088.4499999999998"/>
    <x v="27"/>
    <x v="3"/>
    <x v="0"/>
  </r>
  <r>
    <d v="2025-04-14T00:00:00"/>
    <s v="P0037"/>
    <n v="9"/>
    <x v="2"/>
    <x v="0"/>
    <n v="0"/>
    <x v="24"/>
    <x v="3"/>
    <x v="2"/>
    <n v="67"/>
    <n v="75.319999999999993"/>
    <n v="603"/>
    <n v="677.87999999999988"/>
    <x v="7"/>
    <x v="3"/>
    <x v="0"/>
  </r>
  <r>
    <d v="2025-04-15T00:00:00"/>
    <s v="P0044"/>
    <n v="11"/>
    <x v="0"/>
    <x v="0"/>
    <n v="0.02"/>
    <x v="32"/>
    <x v="3"/>
    <x v="2"/>
    <n v="76"/>
    <n v="81.12"/>
    <n v="836"/>
    <n v="892.32"/>
    <x v="8"/>
    <x v="3"/>
    <x v="0"/>
  </r>
  <r>
    <d v="2025-04-16T00:00:00"/>
    <s v="P0034"/>
    <n v="8"/>
    <x v="2"/>
    <x v="1"/>
    <n v="0"/>
    <x v="36"/>
    <x v="1"/>
    <x v="1"/>
    <n v="55"/>
    <n v="63.23"/>
    <n v="440"/>
    <n v="505.84"/>
    <x v="9"/>
    <x v="3"/>
    <x v="0"/>
  </r>
  <r>
    <d v="2025-04-16T00:00:00"/>
    <s v="P0013"/>
    <n v="7"/>
    <x v="1"/>
    <x v="0"/>
    <n v="0"/>
    <x v="43"/>
    <x v="2"/>
    <x v="2"/>
    <n v="112"/>
    <n v="124.29"/>
    <n v="784"/>
    <n v="870.03000000000009"/>
    <x v="9"/>
    <x v="3"/>
    <x v="0"/>
  </r>
  <r>
    <d v="2025-04-19T00:00:00"/>
    <s v="P0023"/>
    <n v="13"/>
    <x v="2"/>
    <x v="0"/>
    <n v="0"/>
    <x v="7"/>
    <x v="0"/>
    <x v="3"/>
    <n v="141"/>
    <n v="162.16999999999999"/>
    <n v="1833"/>
    <n v="2108.21"/>
    <x v="12"/>
    <x v="3"/>
    <x v="0"/>
  </r>
  <r>
    <d v="2025-04-19T00:00:00"/>
    <s v="P0017"/>
    <n v="11"/>
    <x v="2"/>
    <x v="1"/>
    <n v="0"/>
    <x v="4"/>
    <x v="0"/>
    <x v="0"/>
    <n v="12"/>
    <n v="13.05"/>
    <n v="132"/>
    <n v="143.55000000000001"/>
    <x v="12"/>
    <x v="3"/>
    <x v="0"/>
  </r>
  <r>
    <d v="2025-04-19T00:00:00"/>
    <s v="P0013"/>
    <n v="12"/>
    <x v="2"/>
    <x v="0"/>
    <n v="0"/>
    <x v="43"/>
    <x v="2"/>
    <x v="2"/>
    <n v="112"/>
    <n v="128.75"/>
    <n v="1344"/>
    <n v="1545"/>
    <x v="12"/>
    <x v="3"/>
    <x v="0"/>
  </r>
  <r>
    <d v="2025-04-20T00:00:00"/>
    <s v="P0033"/>
    <n v="5"/>
    <x v="2"/>
    <x v="0"/>
    <n v="0"/>
    <x v="44"/>
    <x v="1"/>
    <x v="0"/>
    <n v="9"/>
    <n v="10.51"/>
    <n v="45"/>
    <n v="52.55"/>
    <x v="13"/>
    <x v="3"/>
    <x v="0"/>
  </r>
  <r>
    <d v="2025-04-20T00:00:00"/>
    <s v="P0012"/>
    <n v="5"/>
    <x v="2"/>
    <x v="1"/>
    <n v="0.02"/>
    <x v="14"/>
    <x v="2"/>
    <x v="1"/>
    <n v="58"/>
    <n v="65.06"/>
    <n v="290"/>
    <n v="325.3"/>
    <x v="13"/>
    <x v="3"/>
    <x v="0"/>
  </r>
  <r>
    <d v="2025-04-21T00:00:00"/>
    <s v="P0003"/>
    <n v="15"/>
    <x v="2"/>
    <x v="0"/>
    <n v="0"/>
    <x v="15"/>
    <x v="4"/>
    <x v="2"/>
    <n v="71"/>
    <n v="81.14"/>
    <n v="1065"/>
    <n v="1217.0999999999999"/>
    <x v="14"/>
    <x v="3"/>
    <x v="0"/>
  </r>
  <r>
    <d v="2025-04-22T00:00:00"/>
    <s v="P0030"/>
    <n v="12"/>
    <x v="2"/>
    <x v="0"/>
    <n v="0"/>
    <x v="16"/>
    <x v="1"/>
    <x v="2"/>
    <n v="79"/>
    <n v="90.12"/>
    <n v="948"/>
    <n v="1081.44"/>
    <x v="28"/>
    <x v="3"/>
    <x v="0"/>
  </r>
  <r>
    <d v="2025-04-22T00:00:00"/>
    <s v="P0016"/>
    <n v="11"/>
    <x v="1"/>
    <x v="1"/>
    <n v="0"/>
    <x v="19"/>
    <x v="0"/>
    <x v="3"/>
    <n v="95"/>
    <n v="107.62"/>
    <n v="1045"/>
    <n v="1183.8200000000002"/>
    <x v="28"/>
    <x v="3"/>
    <x v="0"/>
  </r>
  <r>
    <d v="2025-04-22T00:00:00"/>
    <s v="P0006"/>
    <n v="15"/>
    <x v="2"/>
    <x v="1"/>
    <n v="0"/>
    <x v="9"/>
    <x v="4"/>
    <x v="2"/>
    <n v="75"/>
    <n v="83.88"/>
    <n v="1125"/>
    <n v="1258.1999999999998"/>
    <x v="28"/>
    <x v="3"/>
    <x v="0"/>
  </r>
  <r>
    <d v="2025-04-23T00:00:00"/>
    <s v="P0009"/>
    <n v="9"/>
    <x v="1"/>
    <x v="1"/>
    <n v="0"/>
    <x v="41"/>
    <x v="2"/>
    <x v="1"/>
    <n v="39"/>
    <n v="42.72"/>
    <n v="351"/>
    <n v="384.48"/>
    <x v="15"/>
    <x v="3"/>
    <x v="0"/>
  </r>
  <r>
    <d v="2025-04-24T00:00:00"/>
    <s v="P0010"/>
    <n v="1"/>
    <x v="2"/>
    <x v="0"/>
    <n v="0"/>
    <x v="26"/>
    <x v="2"/>
    <x v="2"/>
    <n v="105"/>
    <n v="115.46"/>
    <n v="105"/>
    <n v="115.46"/>
    <x v="16"/>
    <x v="3"/>
    <x v="0"/>
  </r>
  <r>
    <d v="2025-04-24T00:00:00"/>
    <s v="P0009"/>
    <n v="4"/>
    <x v="0"/>
    <x v="0"/>
    <n v="0"/>
    <x v="41"/>
    <x v="2"/>
    <x v="1"/>
    <n v="39"/>
    <n v="42.45"/>
    <n v="156"/>
    <n v="169.8"/>
    <x v="16"/>
    <x v="3"/>
    <x v="0"/>
  </r>
  <r>
    <d v="2025-04-26T00:00:00"/>
    <s v="P0013"/>
    <n v="3"/>
    <x v="2"/>
    <x v="1"/>
    <n v="0"/>
    <x v="43"/>
    <x v="2"/>
    <x v="2"/>
    <n v="112"/>
    <n v="127.81"/>
    <n v="336"/>
    <n v="383.43"/>
    <x v="30"/>
    <x v="3"/>
    <x v="0"/>
  </r>
  <r>
    <d v="2025-04-26T00:00:00"/>
    <s v="P0034"/>
    <n v="7"/>
    <x v="1"/>
    <x v="0"/>
    <n v="0"/>
    <x v="36"/>
    <x v="1"/>
    <x v="1"/>
    <n v="55"/>
    <n v="62.64"/>
    <n v="385"/>
    <n v="438.48"/>
    <x v="30"/>
    <x v="3"/>
    <x v="0"/>
  </r>
  <r>
    <d v="2025-04-26T00:00:00"/>
    <s v="P0023"/>
    <n v="9"/>
    <x v="0"/>
    <x v="1"/>
    <n v="0.08"/>
    <x v="7"/>
    <x v="0"/>
    <x v="3"/>
    <n v="141"/>
    <n v="141.72"/>
    <n v="1269"/>
    <n v="1275.48"/>
    <x v="30"/>
    <x v="3"/>
    <x v="0"/>
  </r>
  <r>
    <d v="2025-04-27T00:00:00"/>
    <s v="P0006"/>
    <n v="7"/>
    <x v="0"/>
    <x v="1"/>
    <n v="0"/>
    <x v="9"/>
    <x v="4"/>
    <x v="2"/>
    <n v="75"/>
    <n v="87.78"/>
    <n v="525"/>
    <n v="614.46"/>
    <x v="17"/>
    <x v="3"/>
    <x v="0"/>
  </r>
  <r>
    <d v="2025-04-28T00:00:00"/>
    <s v="P0003"/>
    <n v="13"/>
    <x v="2"/>
    <x v="0"/>
    <n v="0.05"/>
    <x v="15"/>
    <x v="4"/>
    <x v="2"/>
    <n v="71"/>
    <n v="74.28"/>
    <n v="923"/>
    <n v="965.64"/>
    <x v="18"/>
    <x v="3"/>
    <x v="0"/>
  </r>
  <r>
    <d v="2025-04-28T00:00:00"/>
    <s v="P0025"/>
    <n v="10"/>
    <x v="0"/>
    <x v="0"/>
    <n v="0"/>
    <x v="0"/>
    <x v="0"/>
    <x v="0"/>
    <n v="7"/>
    <n v="7.8"/>
    <n v="70"/>
    <n v="78"/>
    <x v="18"/>
    <x v="3"/>
    <x v="0"/>
  </r>
  <r>
    <d v="2025-04-30T00:00:00"/>
    <s v="P0022"/>
    <n v="13"/>
    <x v="2"/>
    <x v="1"/>
    <n v="0"/>
    <x v="10"/>
    <x v="0"/>
    <x v="3"/>
    <n v="110"/>
    <n v="129.62"/>
    <n v="1430"/>
    <n v="1685.06"/>
    <x v="20"/>
    <x v="3"/>
    <x v="0"/>
  </r>
  <r>
    <d v="2025-04-30T00:00:00"/>
    <s v="P0037"/>
    <n v="6"/>
    <x v="1"/>
    <x v="0"/>
    <n v="0"/>
    <x v="24"/>
    <x v="3"/>
    <x v="2"/>
    <n v="67"/>
    <n v="78.23"/>
    <n v="402"/>
    <n v="469.38"/>
    <x v="20"/>
    <x v="3"/>
    <x v="0"/>
  </r>
  <r>
    <d v="2025-04-30T00:00:00"/>
    <s v="P0028"/>
    <n v="11"/>
    <x v="2"/>
    <x v="1"/>
    <n v="0.05"/>
    <x v="31"/>
    <x v="1"/>
    <x v="1"/>
    <n v="53"/>
    <n v="54.77"/>
    <n v="583"/>
    <n v="602.47"/>
    <x v="20"/>
    <x v="3"/>
    <x v="0"/>
  </r>
  <r>
    <d v="2025-05-02T00:00:00"/>
    <s v="P0011"/>
    <n v="13"/>
    <x v="0"/>
    <x v="0"/>
    <n v="0.08"/>
    <x v="3"/>
    <x v="2"/>
    <x v="2"/>
    <n v="47"/>
    <n v="50.08"/>
    <n v="611"/>
    <n v="651.04"/>
    <x v="0"/>
    <x v="4"/>
    <x v="0"/>
  </r>
  <r>
    <d v="2025-05-03T00:00:00"/>
    <s v="P0027"/>
    <n v="11"/>
    <x v="1"/>
    <x v="0"/>
    <n v="0.05"/>
    <x v="1"/>
    <x v="1"/>
    <x v="1"/>
    <n v="48"/>
    <n v="51.97"/>
    <n v="528"/>
    <n v="571.66999999999996"/>
    <x v="1"/>
    <x v="4"/>
    <x v="0"/>
  </r>
  <r>
    <d v="2025-05-03T00:00:00"/>
    <s v="P0004"/>
    <n v="4"/>
    <x v="2"/>
    <x v="0"/>
    <n v="0"/>
    <x v="37"/>
    <x v="4"/>
    <x v="1"/>
    <n v="44"/>
    <n v="50.21"/>
    <n v="176"/>
    <n v="200.84"/>
    <x v="1"/>
    <x v="4"/>
    <x v="0"/>
  </r>
  <r>
    <d v="2025-05-04T00:00:00"/>
    <s v="P0045"/>
    <n v="8"/>
    <x v="1"/>
    <x v="0"/>
    <n v="0"/>
    <x v="5"/>
    <x v="3"/>
    <x v="1"/>
    <n v="63"/>
    <n v="68.150000000000006"/>
    <n v="504"/>
    <n v="545.20000000000005"/>
    <x v="2"/>
    <x v="4"/>
    <x v="0"/>
  </r>
  <r>
    <d v="2025-05-04T00:00:00"/>
    <s v="P0043"/>
    <n v="11"/>
    <x v="2"/>
    <x v="0"/>
    <n v="0"/>
    <x v="29"/>
    <x v="3"/>
    <x v="0"/>
    <n v="11"/>
    <n v="12.27"/>
    <n v="121"/>
    <n v="134.97"/>
    <x v="2"/>
    <x v="4"/>
    <x v="0"/>
  </r>
  <r>
    <d v="2025-05-05T00:00:00"/>
    <s v="P0004"/>
    <n v="11"/>
    <x v="0"/>
    <x v="1"/>
    <n v="0.05"/>
    <x v="37"/>
    <x v="4"/>
    <x v="1"/>
    <n v="44"/>
    <n v="46.52"/>
    <n v="484"/>
    <n v="511.72"/>
    <x v="23"/>
    <x v="4"/>
    <x v="0"/>
  </r>
  <r>
    <d v="2025-05-07T00:00:00"/>
    <s v="P0018"/>
    <n v="9"/>
    <x v="2"/>
    <x v="0"/>
    <n v="0"/>
    <x v="11"/>
    <x v="0"/>
    <x v="0"/>
    <n v="8"/>
    <n v="9.1999999999999993"/>
    <n v="72"/>
    <n v="82.8"/>
    <x v="3"/>
    <x v="4"/>
    <x v="0"/>
  </r>
  <r>
    <d v="2025-05-07T00:00:00"/>
    <s v="P0030"/>
    <n v="6"/>
    <x v="2"/>
    <x v="1"/>
    <n v="0"/>
    <x v="16"/>
    <x v="1"/>
    <x v="2"/>
    <n v="79"/>
    <n v="91.05"/>
    <n v="474"/>
    <n v="546.29999999999995"/>
    <x v="3"/>
    <x v="4"/>
    <x v="0"/>
  </r>
  <r>
    <d v="2025-05-07T00:00:00"/>
    <s v="P0044"/>
    <n v="7"/>
    <x v="1"/>
    <x v="0"/>
    <n v="0"/>
    <x v="32"/>
    <x v="3"/>
    <x v="2"/>
    <n v="76"/>
    <n v="84.93"/>
    <n v="532"/>
    <n v="594.51"/>
    <x v="3"/>
    <x v="4"/>
    <x v="0"/>
  </r>
  <r>
    <d v="2025-05-08T00:00:00"/>
    <s v="P0043"/>
    <n v="2"/>
    <x v="2"/>
    <x v="0"/>
    <n v="0"/>
    <x v="29"/>
    <x v="3"/>
    <x v="0"/>
    <n v="11"/>
    <n v="12.7"/>
    <n v="22"/>
    <n v="25.4"/>
    <x v="4"/>
    <x v="4"/>
    <x v="0"/>
  </r>
  <r>
    <d v="2025-05-08T00:00:00"/>
    <s v="P0045"/>
    <n v="2"/>
    <x v="2"/>
    <x v="1"/>
    <n v="0"/>
    <x v="5"/>
    <x v="3"/>
    <x v="1"/>
    <n v="63"/>
    <n v="68.34"/>
    <n v="126"/>
    <n v="136.68"/>
    <x v="4"/>
    <x v="4"/>
    <x v="0"/>
  </r>
  <r>
    <d v="2025-05-09T00:00:00"/>
    <s v="P0044"/>
    <n v="13"/>
    <x v="1"/>
    <x v="1"/>
    <n v="0"/>
    <x v="32"/>
    <x v="3"/>
    <x v="2"/>
    <n v="76"/>
    <n v="88.95"/>
    <n v="988"/>
    <n v="1156.3500000000001"/>
    <x v="5"/>
    <x v="4"/>
    <x v="0"/>
  </r>
  <r>
    <d v="2025-05-10T00:00:00"/>
    <s v="P0023"/>
    <n v="5"/>
    <x v="1"/>
    <x v="1"/>
    <n v="0"/>
    <x v="7"/>
    <x v="0"/>
    <x v="3"/>
    <n v="141"/>
    <n v="158"/>
    <n v="705"/>
    <n v="790"/>
    <x v="6"/>
    <x v="4"/>
    <x v="0"/>
  </r>
  <r>
    <d v="2025-05-11T00:00:00"/>
    <s v="P0007"/>
    <n v="15"/>
    <x v="1"/>
    <x v="1"/>
    <n v="0"/>
    <x v="38"/>
    <x v="2"/>
    <x v="2"/>
    <n v="88"/>
    <n v="99.52"/>
    <n v="1320"/>
    <n v="1492.8"/>
    <x v="25"/>
    <x v="4"/>
    <x v="0"/>
  </r>
  <r>
    <d v="2025-05-13T00:00:00"/>
    <s v="P0016"/>
    <n v="14"/>
    <x v="1"/>
    <x v="0"/>
    <n v="0"/>
    <x v="19"/>
    <x v="0"/>
    <x v="3"/>
    <n v="95"/>
    <n v="105.21"/>
    <n v="1330"/>
    <n v="1472.9399999999998"/>
    <x v="27"/>
    <x v="4"/>
    <x v="0"/>
  </r>
  <r>
    <d v="2025-05-13T00:00:00"/>
    <s v="P0011"/>
    <n v="6"/>
    <x v="2"/>
    <x v="0"/>
    <n v="0"/>
    <x v="3"/>
    <x v="2"/>
    <x v="2"/>
    <n v="47"/>
    <n v="51.31"/>
    <n v="282"/>
    <n v="307.86"/>
    <x v="27"/>
    <x v="4"/>
    <x v="0"/>
  </r>
  <r>
    <d v="2025-05-15T00:00:00"/>
    <s v="P0033"/>
    <n v="13"/>
    <x v="2"/>
    <x v="1"/>
    <n v="0"/>
    <x v="44"/>
    <x v="1"/>
    <x v="0"/>
    <n v="9"/>
    <n v="9.99"/>
    <n v="117"/>
    <n v="129.87"/>
    <x v="8"/>
    <x v="4"/>
    <x v="0"/>
  </r>
  <r>
    <d v="2025-05-16T00:00:00"/>
    <s v="P0024"/>
    <n v="13"/>
    <x v="2"/>
    <x v="1"/>
    <n v="0"/>
    <x v="39"/>
    <x v="0"/>
    <x v="3"/>
    <n v="144"/>
    <n v="163.72999999999999"/>
    <n v="1872"/>
    <n v="2128.4899999999998"/>
    <x v="9"/>
    <x v="4"/>
    <x v="0"/>
  </r>
  <r>
    <d v="2025-05-17T00:00:00"/>
    <s v="P0042"/>
    <n v="6"/>
    <x v="2"/>
    <x v="0"/>
    <n v="0"/>
    <x v="30"/>
    <x v="3"/>
    <x v="3"/>
    <n v="120"/>
    <n v="129.63999999999999"/>
    <n v="720"/>
    <n v="777.83999999999992"/>
    <x v="10"/>
    <x v="4"/>
    <x v="0"/>
  </r>
  <r>
    <d v="2025-05-17T00:00:00"/>
    <s v="P0010"/>
    <n v="2"/>
    <x v="2"/>
    <x v="0"/>
    <n v="0"/>
    <x v="26"/>
    <x v="2"/>
    <x v="2"/>
    <n v="105"/>
    <n v="122.05"/>
    <n v="210"/>
    <n v="244.1"/>
    <x v="10"/>
    <x v="4"/>
    <x v="0"/>
  </r>
  <r>
    <d v="2025-05-17T00:00:00"/>
    <s v="P0029"/>
    <n v="4"/>
    <x v="2"/>
    <x v="1"/>
    <n v="0"/>
    <x v="25"/>
    <x v="1"/>
    <x v="1"/>
    <n v="47"/>
    <n v="52.57"/>
    <n v="188"/>
    <n v="210.28"/>
    <x v="10"/>
    <x v="4"/>
    <x v="0"/>
  </r>
  <r>
    <d v="2025-05-18T00:00:00"/>
    <s v="P0037"/>
    <n v="1"/>
    <x v="1"/>
    <x v="1"/>
    <n v="0"/>
    <x v="24"/>
    <x v="3"/>
    <x v="2"/>
    <n v="67"/>
    <n v="76.73"/>
    <n v="67"/>
    <n v="76.73"/>
    <x v="11"/>
    <x v="4"/>
    <x v="0"/>
  </r>
  <r>
    <d v="2025-05-18T00:00:00"/>
    <s v="P0037"/>
    <n v="1"/>
    <x v="2"/>
    <x v="1"/>
    <n v="0.05"/>
    <x v="24"/>
    <x v="3"/>
    <x v="2"/>
    <n v="67"/>
    <n v="73.88"/>
    <n v="67"/>
    <n v="73.88"/>
    <x v="11"/>
    <x v="4"/>
    <x v="0"/>
  </r>
  <r>
    <d v="2025-05-19T00:00:00"/>
    <s v="P0036"/>
    <n v="12"/>
    <x v="2"/>
    <x v="1"/>
    <n v="0"/>
    <x v="13"/>
    <x v="3"/>
    <x v="2"/>
    <n v="102"/>
    <n v="116.15"/>
    <n v="1224"/>
    <n v="1393.8000000000002"/>
    <x v="12"/>
    <x v="4"/>
    <x v="0"/>
  </r>
  <r>
    <d v="2025-05-20T00:00:00"/>
    <s v="P0013"/>
    <n v="13"/>
    <x v="2"/>
    <x v="1"/>
    <n v="0"/>
    <x v="43"/>
    <x v="2"/>
    <x v="2"/>
    <n v="112"/>
    <n v="128.22"/>
    <n v="1456"/>
    <n v="1666.86"/>
    <x v="13"/>
    <x v="4"/>
    <x v="0"/>
  </r>
  <r>
    <d v="2025-05-22T00:00:00"/>
    <s v="P0036"/>
    <n v="1"/>
    <x v="1"/>
    <x v="1"/>
    <n v="0.05"/>
    <x v="13"/>
    <x v="3"/>
    <x v="2"/>
    <n v="102"/>
    <n v="109.38"/>
    <n v="102"/>
    <n v="109.38"/>
    <x v="28"/>
    <x v="4"/>
    <x v="0"/>
  </r>
  <r>
    <d v="2025-05-22T00:00:00"/>
    <s v="P0042"/>
    <n v="3"/>
    <x v="1"/>
    <x v="1"/>
    <n v="0"/>
    <x v="30"/>
    <x v="3"/>
    <x v="3"/>
    <n v="120"/>
    <n v="138.13999999999999"/>
    <n v="360"/>
    <n v="414.41999999999996"/>
    <x v="28"/>
    <x v="4"/>
    <x v="0"/>
  </r>
  <r>
    <d v="2025-05-23T00:00:00"/>
    <s v="P0005"/>
    <n v="13"/>
    <x v="2"/>
    <x v="0"/>
    <n v="0"/>
    <x v="23"/>
    <x v="4"/>
    <x v="1"/>
    <n v="52"/>
    <n v="60.55"/>
    <n v="676"/>
    <n v="787.15"/>
    <x v="15"/>
    <x v="4"/>
    <x v="0"/>
  </r>
  <r>
    <d v="2025-05-23T00:00:00"/>
    <s v="P0012"/>
    <n v="10"/>
    <x v="2"/>
    <x v="0"/>
    <n v="0"/>
    <x v="14"/>
    <x v="2"/>
    <x v="1"/>
    <n v="58"/>
    <n v="65.37"/>
    <n v="580"/>
    <n v="653.70000000000005"/>
    <x v="15"/>
    <x v="4"/>
    <x v="0"/>
  </r>
  <r>
    <d v="2025-05-24T00:00:00"/>
    <s v="P0040"/>
    <n v="11"/>
    <x v="1"/>
    <x v="1"/>
    <n v="0"/>
    <x v="40"/>
    <x v="3"/>
    <x v="2"/>
    <n v="90"/>
    <n v="100.75"/>
    <n v="990"/>
    <n v="1108.25"/>
    <x v="16"/>
    <x v="4"/>
    <x v="0"/>
  </r>
  <r>
    <d v="2025-05-24T00:00:00"/>
    <s v="P0004"/>
    <n v="13"/>
    <x v="0"/>
    <x v="0"/>
    <n v="0"/>
    <x v="37"/>
    <x v="4"/>
    <x v="1"/>
    <n v="44"/>
    <n v="51.81"/>
    <n v="572"/>
    <n v="673.53"/>
    <x v="16"/>
    <x v="4"/>
    <x v="0"/>
  </r>
  <r>
    <d v="2025-05-28T00:00:00"/>
    <s v="P0029"/>
    <n v="2"/>
    <x v="1"/>
    <x v="0"/>
    <n v="0"/>
    <x v="25"/>
    <x v="1"/>
    <x v="1"/>
    <n v="47"/>
    <n v="55.19"/>
    <n v="94"/>
    <n v="110.38"/>
    <x v="18"/>
    <x v="4"/>
    <x v="0"/>
  </r>
  <r>
    <d v="2025-05-28T00:00:00"/>
    <s v="P0043"/>
    <n v="7"/>
    <x v="0"/>
    <x v="1"/>
    <n v="0"/>
    <x v="29"/>
    <x v="3"/>
    <x v="0"/>
    <n v="11"/>
    <n v="12.24"/>
    <n v="77"/>
    <n v="85.68"/>
    <x v="18"/>
    <x v="4"/>
    <x v="0"/>
  </r>
  <r>
    <d v="2025-05-28T00:00:00"/>
    <s v="P0029"/>
    <n v="15"/>
    <x v="1"/>
    <x v="1"/>
    <n v="0.02"/>
    <x v="25"/>
    <x v="1"/>
    <x v="1"/>
    <n v="47"/>
    <n v="53.02"/>
    <n v="705"/>
    <n v="795.30000000000007"/>
    <x v="18"/>
    <x v="4"/>
    <x v="0"/>
  </r>
  <r>
    <d v="2025-05-28T00:00:00"/>
    <s v="P0006"/>
    <n v="6"/>
    <x v="0"/>
    <x v="0"/>
    <n v="0"/>
    <x v="9"/>
    <x v="4"/>
    <x v="2"/>
    <n v="75"/>
    <n v="87.21"/>
    <n v="450"/>
    <n v="523.26"/>
    <x v="18"/>
    <x v="4"/>
    <x v="0"/>
  </r>
  <r>
    <d v="2025-05-29T00:00:00"/>
    <s v="P0021"/>
    <n v="2"/>
    <x v="2"/>
    <x v="0"/>
    <n v="0"/>
    <x v="18"/>
    <x v="0"/>
    <x v="2"/>
    <n v="84"/>
    <n v="93.91"/>
    <n v="168"/>
    <n v="187.82"/>
    <x v="19"/>
    <x v="4"/>
    <x v="0"/>
  </r>
  <r>
    <d v="2025-05-29T00:00:00"/>
    <s v="P0037"/>
    <n v="5"/>
    <x v="0"/>
    <x v="1"/>
    <n v="0.1"/>
    <x v="24"/>
    <x v="3"/>
    <x v="2"/>
    <n v="67"/>
    <n v="70.67"/>
    <n v="335"/>
    <n v="353.35"/>
    <x v="19"/>
    <x v="4"/>
    <x v="0"/>
  </r>
  <r>
    <d v="2025-05-31T00:00:00"/>
    <s v="P0015"/>
    <n v="7"/>
    <x v="1"/>
    <x v="0"/>
    <n v="0"/>
    <x v="22"/>
    <x v="0"/>
    <x v="3"/>
    <n v="130"/>
    <n v="145.19999999999999"/>
    <n v="910"/>
    <n v="1016.3999999999999"/>
    <x v="21"/>
    <x v="4"/>
    <x v="0"/>
  </r>
  <r>
    <d v="2025-05-31T00:00:00"/>
    <s v="P0030"/>
    <n v="9"/>
    <x v="1"/>
    <x v="1"/>
    <n v="0"/>
    <x v="16"/>
    <x v="1"/>
    <x v="2"/>
    <n v="79"/>
    <n v="86.22"/>
    <n v="711"/>
    <n v="775.98"/>
    <x v="21"/>
    <x v="4"/>
    <x v="0"/>
  </r>
  <r>
    <d v="2025-05-31T00:00:00"/>
    <s v="P0009"/>
    <n v="3"/>
    <x v="1"/>
    <x v="0"/>
    <n v="0"/>
    <x v="41"/>
    <x v="2"/>
    <x v="1"/>
    <n v="39"/>
    <n v="45.13"/>
    <n v="117"/>
    <n v="135.39000000000001"/>
    <x v="21"/>
    <x v="4"/>
    <x v="0"/>
  </r>
  <r>
    <d v="2025-06-01T00:00:00"/>
    <s v="P0014"/>
    <n v="1"/>
    <x v="1"/>
    <x v="1"/>
    <n v="0"/>
    <x v="2"/>
    <x v="2"/>
    <x v="2"/>
    <n v="112"/>
    <n v="121.6"/>
    <n v="112"/>
    <n v="121.6"/>
    <x v="22"/>
    <x v="5"/>
    <x v="0"/>
  </r>
  <r>
    <d v="2025-06-01T00:00:00"/>
    <s v="P0022"/>
    <n v="13"/>
    <x v="2"/>
    <x v="1"/>
    <n v="0"/>
    <x v="10"/>
    <x v="0"/>
    <x v="3"/>
    <n v="110"/>
    <n v="129.43"/>
    <n v="1430"/>
    <n v="1682.5900000000001"/>
    <x v="22"/>
    <x v="5"/>
    <x v="0"/>
  </r>
  <r>
    <d v="2025-06-01T00:00:00"/>
    <s v="P0024"/>
    <n v="10"/>
    <x v="2"/>
    <x v="1"/>
    <n v="0"/>
    <x v="39"/>
    <x v="0"/>
    <x v="3"/>
    <n v="144"/>
    <n v="162.07"/>
    <n v="1440"/>
    <n v="1620.6999999999998"/>
    <x v="22"/>
    <x v="5"/>
    <x v="0"/>
  </r>
  <r>
    <d v="2025-06-02T00:00:00"/>
    <s v="P0030"/>
    <n v="11"/>
    <x v="1"/>
    <x v="0"/>
    <n v="0"/>
    <x v="16"/>
    <x v="1"/>
    <x v="2"/>
    <n v="79"/>
    <n v="91.82"/>
    <n v="869"/>
    <n v="1010.02"/>
    <x v="0"/>
    <x v="5"/>
    <x v="0"/>
  </r>
  <r>
    <d v="2025-06-02T00:00:00"/>
    <s v="P0040"/>
    <n v="10"/>
    <x v="2"/>
    <x v="1"/>
    <n v="0"/>
    <x v="40"/>
    <x v="3"/>
    <x v="2"/>
    <n v="90"/>
    <n v="99.35"/>
    <n v="900"/>
    <n v="993.5"/>
    <x v="0"/>
    <x v="5"/>
    <x v="0"/>
  </r>
  <r>
    <d v="2025-06-03T00:00:00"/>
    <s v="P0017"/>
    <n v="14"/>
    <x v="0"/>
    <x v="1"/>
    <n v="0"/>
    <x v="4"/>
    <x v="0"/>
    <x v="0"/>
    <n v="12"/>
    <n v="13.63"/>
    <n v="168"/>
    <n v="190.82000000000002"/>
    <x v="1"/>
    <x v="5"/>
    <x v="0"/>
  </r>
  <r>
    <d v="2025-06-04T00:00:00"/>
    <s v="P0013"/>
    <n v="7"/>
    <x v="0"/>
    <x v="1"/>
    <n v="0.08"/>
    <x v="43"/>
    <x v="2"/>
    <x v="2"/>
    <n v="112"/>
    <n v="117.21"/>
    <n v="784"/>
    <n v="820.46999999999991"/>
    <x v="2"/>
    <x v="5"/>
    <x v="0"/>
  </r>
  <r>
    <d v="2025-06-04T00:00:00"/>
    <s v="P0014"/>
    <n v="9"/>
    <x v="1"/>
    <x v="1"/>
    <n v="0"/>
    <x v="2"/>
    <x v="2"/>
    <x v="2"/>
    <n v="112"/>
    <n v="124.27"/>
    <n v="1008"/>
    <n v="1118.43"/>
    <x v="2"/>
    <x v="5"/>
    <x v="0"/>
  </r>
  <r>
    <d v="2025-06-05T00:00:00"/>
    <s v="P0006"/>
    <n v="4"/>
    <x v="2"/>
    <x v="0"/>
    <n v="0"/>
    <x v="9"/>
    <x v="4"/>
    <x v="2"/>
    <n v="75"/>
    <n v="86.93"/>
    <n v="300"/>
    <n v="347.72"/>
    <x v="23"/>
    <x v="5"/>
    <x v="0"/>
  </r>
  <r>
    <d v="2025-06-05T00:00:00"/>
    <s v="P0040"/>
    <n v="9"/>
    <x v="2"/>
    <x v="1"/>
    <n v="0"/>
    <x v="40"/>
    <x v="3"/>
    <x v="2"/>
    <n v="90"/>
    <n v="102.43"/>
    <n v="810"/>
    <n v="921.87000000000012"/>
    <x v="23"/>
    <x v="5"/>
    <x v="0"/>
  </r>
  <r>
    <d v="2025-06-05T00:00:00"/>
    <s v="P0040"/>
    <n v="4"/>
    <x v="1"/>
    <x v="0"/>
    <n v="0"/>
    <x v="40"/>
    <x v="3"/>
    <x v="2"/>
    <n v="90"/>
    <n v="104.18"/>
    <n v="360"/>
    <n v="416.72"/>
    <x v="23"/>
    <x v="5"/>
    <x v="0"/>
  </r>
  <r>
    <d v="2025-06-06T00:00:00"/>
    <s v="P0017"/>
    <n v="4"/>
    <x v="2"/>
    <x v="1"/>
    <n v="0"/>
    <x v="4"/>
    <x v="0"/>
    <x v="0"/>
    <n v="12"/>
    <n v="13.85"/>
    <n v="48"/>
    <n v="55.4"/>
    <x v="24"/>
    <x v="5"/>
    <x v="0"/>
  </r>
  <r>
    <d v="2025-06-07T00:00:00"/>
    <s v="P0016"/>
    <n v="1"/>
    <x v="2"/>
    <x v="1"/>
    <n v="0.05"/>
    <x v="19"/>
    <x v="0"/>
    <x v="3"/>
    <n v="95"/>
    <n v="104.83"/>
    <n v="95"/>
    <n v="104.83"/>
    <x v="3"/>
    <x v="5"/>
    <x v="0"/>
  </r>
  <r>
    <d v="2025-06-08T00:00:00"/>
    <s v="P0043"/>
    <n v="7"/>
    <x v="2"/>
    <x v="0"/>
    <n v="0"/>
    <x v="29"/>
    <x v="3"/>
    <x v="0"/>
    <n v="11"/>
    <n v="12.09"/>
    <n v="77"/>
    <n v="84.63"/>
    <x v="4"/>
    <x v="5"/>
    <x v="0"/>
  </r>
  <r>
    <d v="2025-06-08T00:00:00"/>
    <s v="P0012"/>
    <n v="4"/>
    <x v="2"/>
    <x v="0"/>
    <n v="0"/>
    <x v="14"/>
    <x v="2"/>
    <x v="1"/>
    <n v="58"/>
    <n v="68.44"/>
    <n v="232"/>
    <n v="273.76"/>
    <x v="4"/>
    <x v="5"/>
    <x v="0"/>
  </r>
  <r>
    <d v="2025-06-09T00:00:00"/>
    <s v="P0036"/>
    <n v="1"/>
    <x v="1"/>
    <x v="1"/>
    <n v="0"/>
    <x v="13"/>
    <x v="3"/>
    <x v="2"/>
    <n v="102"/>
    <n v="118.74"/>
    <n v="102"/>
    <n v="118.74"/>
    <x v="5"/>
    <x v="5"/>
    <x v="0"/>
  </r>
  <r>
    <d v="2025-06-09T00:00:00"/>
    <s v="P0021"/>
    <n v="2"/>
    <x v="1"/>
    <x v="1"/>
    <n v="0"/>
    <x v="18"/>
    <x v="0"/>
    <x v="2"/>
    <n v="84"/>
    <n v="93.17"/>
    <n v="168"/>
    <n v="186.34"/>
    <x v="5"/>
    <x v="5"/>
    <x v="0"/>
  </r>
  <r>
    <d v="2025-06-10T00:00:00"/>
    <s v="P0043"/>
    <n v="5"/>
    <x v="2"/>
    <x v="1"/>
    <n v="0"/>
    <x v="29"/>
    <x v="3"/>
    <x v="0"/>
    <n v="11"/>
    <n v="12.4"/>
    <n v="55"/>
    <n v="62"/>
    <x v="6"/>
    <x v="5"/>
    <x v="0"/>
  </r>
  <r>
    <d v="2025-06-13T00:00:00"/>
    <s v="P0005"/>
    <n v="5"/>
    <x v="2"/>
    <x v="1"/>
    <n v="0.05"/>
    <x v="23"/>
    <x v="4"/>
    <x v="1"/>
    <n v="52"/>
    <n v="56.55"/>
    <n v="260"/>
    <n v="282.75"/>
    <x v="27"/>
    <x v="5"/>
    <x v="0"/>
  </r>
  <r>
    <d v="2025-06-13T00:00:00"/>
    <s v="P0018"/>
    <n v="14"/>
    <x v="2"/>
    <x v="0"/>
    <n v="0"/>
    <x v="11"/>
    <x v="0"/>
    <x v="0"/>
    <n v="8"/>
    <n v="9.18"/>
    <n v="112"/>
    <n v="128.51999999999998"/>
    <x v="27"/>
    <x v="5"/>
    <x v="0"/>
  </r>
  <r>
    <d v="2025-06-14T00:00:00"/>
    <s v="P0030"/>
    <n v="8"/>
    <x v="2"/>
    <x v="1"/>
    <n v="0"/>
    <x v="16"/>
    <x v="1"/>
    <x v="2"/>
    <n v="79"/>
    <n v="91.59"/>
    <n v="632"/>
    <n v="732.72"/>
    <x v="7"/>
    <x v="5"/>
    <x v="0"/>
  </r>
  <r>
    <d v="2025-06-14T00:00:00"/>
    <s v="P0019"/>
    <n v="11"/>
    <x v="2"/>
    <x v="1"/>
    <n v="0"/>
    <x v="12"/>
    <x v="0"/>
    <x v="2"/>
    <n v="67"/>
    <n v="73.92"/>
    <n v="737"/>
    <n v="813.12"/>
    <x v="7"/>
    <x v="5"/>
    <x v="0"/>
  </r>
  <r>
    <d v="2025-06-16T00:00:00"/>
    <s v="P0025"/>
    <n v="5"/>
    <x v="0"/>
    <x v="0"/>
    <n v="0.05"/>
    <x v="0"/>
    <x v="0"/>
    <x v="0"/>
    <n v="7"/>
    <n v="7.57"/>
    <n v="35"/>
    <n v="37.85"/>
    <x v="9"/>
    <x v="5"/>
    <x v="0"/>
  </r>
  <r>
    <d v="2025-06-17T00:00:00"/>
    <s v="P0014"/>
    <n v="8"/>
    <x v="2"/>
    <x v="0"/>
    <n v="0"/>
    <x v="2"/>
    <x v="2"/>
    <x v="2"/>
    <n v="112"/>
    <n v="131.61000000000001"/>
    <n v="896"/>
    <n v="1052.8800000000001"/>
    <x v="10"/>
    <x v="5"/>
    <x v="0"/>
  </r>
  <r>
    <d v="2025-06-17T00:00:00"/>
    <s v="P0040"/>
    <n v="4"/>
    <x v="1"/>
    <x v="0"/>
    <n v="0"/>
    <x v="40"/>
    <x v="3"/>
    <x v="2"/>
    <n v="90"/>
    <n v="99.92"/>
    <n v="360"/>
    <n v="399.68"/>
    <x v="10"/>
    <x v="5"/>
    <x v="0"/>
  </r>
  <r>
    <d v="2025-06-17T00:00:00"/>
    <s v="P0026"/>
    <n v="10"/>
    <x v="1"/>
    <x v="1"/>
    <n v="0"/>
    <x v="35"/>
    <x v="1"/>
    <x v="2"/>
    <n v="56"/>
    <n v="62.93"/>
    <n v="560"/>
    <n v="629.29999999999995"/>
    <x v="10"/>
    <x v="5"/>
    <x v="0"/>
  </r>
  <r>
    <d v="2025-06-17T00:00:00"/>
    <s v="P0021"/>
    <n v="8"/>
    <x v="2"/>
    <x v="1"/>
    <n v="0"/>
    <x v="18"/>
    <x v="0"/>
    <x v="2"/>
    <n v="84"/>
    <n v="91.86"/>
    <n v="672"/>
    <n v="734.88"/>
    <x v="10"/>
    <x v="5"/>
    <x v="0"/>
  </r>
  <r>
    <d v="2025-06-19T00:00:00"/>
    <s v="P0002"/>
    <n v="2"/>
    <x v="0"/>
    <x v="0"/>
    <n v="0.08"/>
    <x v="42"/>
    <x v="4"/>
    <x v="2"/>
    <n v="65"/>
    <n v="64.81"/>
    <n v="130"/>
    <n v="129.62"/>
    <x v="12"/>
    <x v="5"/>
    <x v="0"/>
  </r>
  <r>
    <d v="2025-06-19T00:00:00"/>
    <s v="P0040"/>
    <n v="6"/>
    <x v="1"/>
    <x v="1"/>
    <n v="0"/>
    <x v="40"/>
    <x v="3"/>
    <x v="2"/>
    <n v="90"/>
    <n v="99.9"/>
    <n v="540"/>
    <n v="599.40000000000009"/>
    <x v="12"/>
    <x v="5"/>
    <x v="0"/>
  </r>
  <r>
    <d v="2025-06-21T00:00:00"/>
    <s v="P0019"/>
    <n v="8"/>
    <x v="0"/>
    <x v="0"/>
    <n v="0"/>
    <x v="12"/>
    <x v="0"/>
    <x v="2"/>
    <n v="67"/>
    <n v="75.739999999999995"/>
    <n v="536"/>
    <n v="605.91999999999996"/>
    <x v="14"/>
    <x v="5"/>
    <x v="0"/>
  </r>
  <r>
    <d v="2025-06-22T00:00:00"/>
    <s v="P0007"/>
    <n v="2"/>
    <x v="2"/>
    <x v="0"/>
    <n v="0"/>
    <x v="38"/>
    <x v="2"/>
    <x v="2"/>
    <n v="88"/>
    <n v="100.35"/>
    <n v="176"/>
    <n v="200.7"/>
    <x v="28"/>
    <x v="5"/>
    <x v="0"/>
  </r>
  <r>
    <d v="2025-06-23T00:00:00"/>
    <s v="P0002"/>
    <n v="10"/>
    <x v="1"/>
    <x v="1"/>
    <n v="0.02"/>
    <x v="42"/>
    <x v="4"/>
    <x v="2"/>
    <n v="65"/>
    <n v="70.260000000000005"/>
    <n v="650"/>
    <n v="702.6"/>
    <x v="15"/>
    <x v="5"/>
    <x v="0"/>
  </r>
  <r>
    <d v="2025-06-23T00:00:00"/>
    <s v="P0042"/>
    <n v="3"/>
    <x v="0"/>
    <x v="0"/>
    <n v="0"/>
    <x v="30"/>
    <x v="3"/>
    <x v="3"/>
    <n v="120"/>
    <n v="131.79"/>
    <n v="360"/>
    <n v="395.37"/>
    <x v="15"/>
    <x v="5"/>
    <x v="0"/>
  </r>
  <r>
    <d v="2025-06-23T00:00:00"/>
    <s v="P0036"/>
    <n v="6"/>
    <x v="1"/>
    <x v="1"/>
    <n v="0"/>
    <x v="13"/>
    <x v="3"/>
    <x v="2"/>
    <n v="102"/>
    <n v="114.25"/>
    <n v="612"/>
    <n v="685.5"/>
    <x v="15"/>
    <x v="5"/>
    <x v="0"/>
  </r>
  <r>
    <d v="2025-06-24T00:00:00"/>
    <s v="P0012"/>
    <n v="15"/>
    <x v="0"/>
    <x v="0"/>
    <n v="0.05"/>
    <x v="14"/>
    <x v="2"/>
    <x v="1"/>
    <n v="58"/>
    <n v="62.74"/>
    <n v="870"/>
    <n v="941.1"/>
    <x v="16"/>
    <x v="5"/>
    <x v="0"/>
  </r>
  <r>
    <d v="2025-06-26T00:00:00"/>
    <s v="P0026"/>
    <n v="3"/>
    <x v="1"/>
    <x v="1"/>
    <n v="0"/>
    <x v="35"/>
    <x v="1"/>
    <x v="2"/>
    <n v="56"/>
    <n v="63.09"/>
    <n v="168"/>
    <n v="189.27"/>
    <x v="30"/>
    <x v="5"/>
    <x v="0"/>
  </r>
  <r>
    <d v="2025-06-28T00:00:00"/>
    <s v="P0023"/>
    <n v="14"/>
    <x v="1"/>
    <x v="1"/>
    <n v="0"/>
    <x v="7"/>
    <x v="0"/>
    <x v="3"/>
    <n v="141"/>
    <n v="162.22999999999999"/>
    <n v="1974"/>
    <n v="2271.2199999999998"/>
    <x v="18"/>
    <x v="5"/>
    <x v="0"/>
  </r>
  <r>
    <d v="2025-06-29T00:00:00"/>
    <s v="P0015"/>
    <n v="11"/>
    <x v="2"/>
    <x v="1"/>
    <n v="0"/>
    <x v="22"/>
    <x v="0"/>
    <x v="3"/>
    <n v="130"/>
    <n v="152.74"/>
    <n v="1430"/>
    <n v="1680.14"/>
    <x v="19"/>
    <x v="5"/>
    <x v="0"/>
  </r>
  <r>
    <d v="2025-06-29T00:00:00"/>
    <s v="P0020"/>
    <n v="11"/>
    <x v="1"/>
    <x v="0"/>
    <n v="0"/>
    <x v="21"/>
    <x v="0"/>
    <x v="1"/>
    <n v="61"/>
    <n v="70.2"/>
    <n v="671"/>
    <n v="772.2"/>
    <x v="19"/>
    <x v="5"/>
    <x v="0"/>
  </r>
  <r>
    <d v="2025-06-29T00:00:00"/>
    <s v="P0014"/>
    <n v="11"/>
    <x v="1"/>
    <x v="0"/>
    <n v="0"/>
    <x v="2"/>
    <x v="2"/>
    <x v="2"/>
    <n v="112"/>
    <n v="125.91"/>
    <n v="1232"/>
    <n v="1385.01"/>
    <x v="19"/>
    <x v="5"/>
    <x v="0"/>
  </r>
  <r>
    <d v="2025-06-30T00:00:00"/>
    <s v="P0033"/>
    <n v="2"/>
    <x v="2"/>
    <x v="0"/>
    <n v="0.05"/>
    <x v="44"/>
    <x v="1"/>
    <x v="0"/>
    <n v="9"/>
    <n v="9.9499999999999993"/>
    <n v="18"/>
    <n v="19.899999999999999"/>
    <x v="20"/>
    <x v="5"/>
    <x v="0"/>
  </r>
  <r>
    <d v="2025-06-30T00:00:00"/>
    <s v="P0016"/>
    <n v="10"/>
    <x v="2"/>
    <x v="1"/>
    <n v="0"/>
    <x v="19"/>
    <x v="0"/>
    <x v="3"/>
    <n v="95"/>
    <n v="106.03"/>
    <n v="950"/>
    <n v="1060.3"/>
    <x v="20"/>
    <x v="5"/>
    <x v="0"/>
  </r>
  <r>
    <d v="2025-07-03T00:00:00"/>
    <s v="P0004"/>
    <n v="7"/>
    <x v="2"/>
    <x v="1"/>
    <n v="0"/>
    <x v="37"/>
    <x v="4"/>
    <x v="1"/>
    <n v="44"/>
    <n v="51.15"/>
    <n v="308"/>
    <n v="358.05"/>
    <x v="1"/>
    <x v="6"/>
    <x v="0"/>
  </r>
  <r>
    <d v="2025-07-03T00:00:00"/>
    <s v="P0020"/>
    <n v="5"/>
    <x v="2"/>
    <x v="0"/>
    <n v="0"/>
    <x v="21"/>
    <x v="0"/>
    <x v="1"/>
    <n v="61"/>
    <n v="70.78"/>
    <n v="305"/>
    <n v="353.9"/>
    <x v="1"/>
    <x v="6"/>
    <x v="0"/>
  </r>
  <r>
    <d v="2025-07-04T00:00:00"/>
    <s v="P0017"/>
    <n v="2"/>
    <x v="2"/>
    <x v="1"/>
    <n v="0.05"/>
    <x v="4"/>
    <x v="0"/>
    <x v="0"/>
    <n v="12"/>
    <n v="13.14"/>
    <n v="24"/>
    <n v="26.28"/>
    <x v="2"/>
    <x v="6"/>
    <x v="0"/>
  </r>
  <r>
    <d v="2025-07-05T00:00:00"/>
    <s v="P0033"/>
    <n v="4"/>
    <x v="2"/>
    <x v="1"/>
    <n v="0"/>
    <x v="44"/>
    <x v="1"/>
    <x v="0"/>
    <n v="9"/>
    <n v="9.93"/>
    <n v="36"/>
    <n v="39.72"/>
    <x v="23"/>
    <x v="6"/>
    <x v="0"/>
  </r>
  <r>
    <d v="2025-07-05T00:00:00"/>
    <s v="P0005"/>
    <n v="15"/>
    <x v="1"/>
    <x v="1"/>
    <n v="0"/>
    <x v="23"/>
    <x v="4"/>
    <x v="1"/>
    <n v="52"/>
    <n v="60.86"/>
    <n v="780"/>
    <n v="912.9"/>
    <x v="23"/>
    <x v="6"/>
    <x v="0"/>
  </r>
  <r>
    <d v="2025-07-06T00:00:00"/>
    <s v="P0044"/>
    <n v="12"/>
    <x v="2"/>
    <x v="0"/>
    <n v="0"/>
    <x v="32"/>
    <x v="3"/>
    <x v="2"/>
    <n v="76"/>
    <n v="87.8"/>
    <n v="912"/>
    <n v="1053.5999999999999"/>
    <x v="24"/>
    <x v="6"/>
    <x v="0"/>
  </r>
  <r>
    <d v="2025-07-07T00:00:00"/>
    <s v="P0034"/>
    <n v="9"/>
    <x v="0"/>
    <x v="1"/>
    <n v="0.1"/>
    <x v="36"/>
    <x v="1"/>
    <x v="1"/>
    <n v="55"/>
    <n v="58.25"/>
    <n v="495"/>
    <n v="524.25"/>
    <x v="3"/>
    <x v="6"/>
    <x v="0"/>
  </r>
  <r>
    <d v="2025-07-07T00:00:00"/>
    <s v="P0035"/>
    <n v="14"/>
    <x v="1"/>
    <x v="0"/>
    <n v="0"/>
    <x v="6"/>
    <x v="1"/>
    <x v="0"/>
    <n v="5"/>
    <n v="5.89"/>
    <n v="70"/>
    <n v="82.46"/>
    <x v="3"/>
    <x v="6"/>
    <x v="0"/>
  </r>
  <r>
    <d v="2025-07-08T00:00:00"/>
    <s v="P0030"/>
    <n v="8"/>
    <x v="2"/>
    <x v="1"/>
    <n v="0"/>
    <x v="16"/>
    <x v="1"/>
    <x v="2"/>
    <n v="79"/>
    <n v="92.01"/>
    <n v="632"/>
    <n v="736.08"/>
    <x v="4"/>
    <x v="6"/>
    <x v="0"/>
  </r>
  <r>
    <d v="2025-07-09T00:00:00"/>
    <s v="P0019"/>
    <n v="3"/>
    <x v="2"/>
    <x v="0"/>
    <n v="0"/>
    <x v="12"/>
    <x v="0"/>
    <x v="2"/>
    <n v="67"/>
    <n v="78.97"/>
    <n v="201"/>
    <n v="236.91"/>
    <x v="5"/>
    <x v="6"/>
    <x v="0"/>
  </r>
  <r>
    <d v="2025-07-09T00:00:00"/>
    <s v="P0005"/>
    <n v="9"/>
    <x v="1"/>
    <x v="1"/>
    <n v="0"/>
    <x v="23"/>
    <x v="4"/>
    <x v="1"/>
    <n v="52"/>
    <n v="60.44"/>
    <n v="468"/>
    <n v="543.96"/>
    <x v="5"/>
    <x v="6"/>
    <x v="0"/>
  </r>
  <r>
    <d v="2025-07-09T00:00:00"/>
    <s v="P0020"/>
    <n v="12"/>
    <x v="2"/>
    <x v="1"/>
    <n v="0"/>
    <x v="21"/>
    <x v="0"/>
    <x v="1"/>
    <n v="61"/>
    <n v="66.83"/>
    <n v="732"/>
    <n v="801.96"/>
    <x v="5"/>
    <x v="6"/>
    <x v="0"/>
  </r>
  <r>
    <d v="2025-07-09T00:00:00"/>
    <s v="P0024"/>
    <n v="8"/>
    <x v="1"/>
    <x v="1"/>
    <n v="0"/>
    <x v="39"/>
    <x v="0"/>
    <x v="3"/>
    <n v="144"/>
    <n v="161.25"/>
    <n v="1152"/>
    <n v="1290"/>
    <x v="5"/>
    <x v="6"/>
    <x v="0"/>
  </r>
  <r>
    <d v="2025-07-09T00:00:00"/>
    <s v="P0012"/>
    <n v="8"/>
    <x v="2"/>
    <x v="0"/>
    <n v="0"/>
    <x v="14"/>
    <x v="2"/>
    <x v="1"/>
    <n v="58"/>
    <n v="63.95"/>
    <n v="464"/>
    <n v="511.6"/>
    <x v="5"/>
    <x v="6"/>
    <x v="0"/>
  </r>
  <r>
    <d v="2025-07-10T00:00:00"/>
    <s v="P0007"/>
    <n v="11"/>
    <x v="2"/>
    <x v="1"/>
    <n v="0"/>
    <x v="38"/>
    <x v="2"/>
    <x v="2"/>
    <n v="88"/>
    <n v="103.34"/>
    <n v="968"/>
    <n v="1136.74"/>
    <x v="6"/>
    <x v="6"/>
    <x v="0"/>
  </r>
  <r>
    <d v="2025-07-11T00:00:00"/>
    <s v="P0015"/>
    <n v="1"/>
    <x v="2"/>
    <x v="1"/>
    <n v="0"/>
    <x v="22"/>
    <x v="0"/>
    <x v="3"/>
    <n v="130"/>
    <n v="148.85"/>
    <n v="130"/>
    <n v="148.85"/>
    <x v="25"/>
    <x v="6"/>
    <x v="0"/>
  </r>
  <r>
    <d v="2025-07-12T00:00:00"/>
    <s v="P0026"/>
    <n v="12"/>
    <x v="2"/>
    <x v="1"/>
    <n v="0"/>
    <x v="35"/>
    <x v="1"/>
    <x v="2"/>
    <n v="56"/>
    <n v="64.81"/>
    <n v="672"/>
    <n v="777.72"/>
    <x v="26"/>
    <x v="6"/>
    <x v="0"/>
  </r>
  <r>
    <d v="2025-07-13T00:00:00"/>
    <s v="P0044"/>
    <n v="10"/>
    <x v="1"/>
    <x v="1"/>
    <n v="0"/>
    <x v="32"/>
    <x v="3"/>
    <x v="2"/>
    <n v="76"/>
    <n v="87.87"/>
    <n v="760"/>
    <n v="878.7"/>
    <x v="27"/>
    <x v="6"/>
    <x v="0"/>
  </r>
  <r>
    <d v="2025-07-14T00:00:00"/>
    <s v="P0011"/>
    <n v="3"/>
    <x v="2"/>
    <x v="0"/>
    <n v="0"/>
    <x v="3"/>
    <x v="2"/>
    <x v="2"/>
    <n v="47"/>
    <n v="51.06"/>
    <n v="141"/>
    <n v="153.18"/>
    <x v="7"/>
    <x v="6"/>
    <x v="0"/>
  </r>
  <r>
    <d v="2025-07-15T00:00:00"/>
    <s v="P0040"/>
    <n v="11"/>
    <x v="2"/>
    <x v="1"/>
    <n v="0"/>
    <x v="40"/>
    <x v="3"/>
    <x v="2"/>
    <n v="90"/>
    <n v="102.94"/>
    <n v="990"/>
    <n v="1132.3399999999999"/>
    <x v="8"/>
    <x v="6"/>
    <x v="0"/>
  </r>
  <r>
    <d v="2025-07-16T00:00:00"/>
    <s v="P0028"/>
    <n v="3"/>
    <x v="1"/>
    <x v="1"/>
    <n v="0"/>
    <x v="31"/>
    <x v="1"/>
    <x v="1"/>
    <n v="53"/>
    <n v="59.84"/>
    <n v="159"/>
    <n v="179.52"/>
    <x v="9"/>
    <x v="6"/>
    <x v="0"/>
  </r>
  <r>
    <d v="2025-07-18T00:00:00"/>
    <s v="P0027"/>
    <n v="13"/>
    <x v="2"/>
    <x v="1"/>
    <n v="0"/>
    <x v="1"/>
    <x v="1"/>
    <x v="1"/>
    <n v="48"/>
    <n v="54.95"/>
    <n v="624"/>
    <n v="714.35"/>
    <x v="11"/>
    <x v="6"/>
    <x v="0"/>
  </r>
  <r>
    <d v="2025-07-19T00:00:00"/>
    <s v="P0027"/>
    <n v="9"/>
    <x v="1"/>
    <x v="1"/>
    <n v="0"/>
    <x v="1"/>
    <x v="1"/>
    <x v="1"/>
    <n v="48"/>
    <n v="53.15"/>
    <n v="432"/>
    <n v="478.34999999999997"/>
    <x v="12"/>
    <x v="6"/>
    <x v="0"/>
  </r>
  <r>
    <d v="2025-07-19T00:00:00"/>
    <s v="P0044"/>
    <n v="15"/>
    <x v="1"/>
    <x v="0"/>
    <n v="0"/>
    <x v="32"/>
    <x v="3"/>
    <x v="2"/>
    <n v="76"/>
    <n v="83.14"/>
    <n v="1140"/>
    <n v="1247.0999999999999"/>
    <x v="12"/>
    <x v="6"/>
    <x v="0"/>
  </r>
  <r>
    <d v="2025-07-21T00:00:00"/>
    <s v="P0033"/>
    <n v="8"/>
    <x v="0"/>
    <x v="1"/>
    <n v="0.05"/>
    <x v="44"/>
    <x v="1"/>
    <x v="0"/>
    <n v="9"/>
    <n v="9.66"/>
    <n v="72"/>
    <n v="77.28"/>
    <x v="14"/>
    <x v="6"/>
    <x v="0"/>
  </r>
  <r>
    <d v="2025-07-21T00:00:00"/>
    <s v="P0040"/>
    <n v="12"/>
    <x v="0"/>
    <x v="0"/>
    <n v="0"/>
    <x v="40"/>
    <x v="3"/>
    <x v="2"/>
    <n v="90"/>
    <n v="101.61"/>
    <n v="1080"/>
    <n v="1219.32"/>
    <x v="14"/>
    <x v="6"/>
    <x v="0"/>
  </r>
  <r>
    <d v="2025-07-22T00:00:00"/>
    <s v="P0022"/>
    <n v="14"/>
    <x v="1"/>
    <x v="0"/>
    <n v="0"/>
    <x v="10"/>
    <x v="0"/>
    <x v="3"/>
    <n v="110"/>
    <n v="123.54"/>
    <n v="1540"/>
    <n v="1729.5600000000002"/>
    <x v="28"/>
    <x v="6"/>
    <x v="0"/>
  </r>
  <r>
    <d v="2025-07-22T00:00:00"/>
    <s v="P0002"/>
    <n v="12"/>
    <x v="1"/>
    <x v="1"/>
    <n v="0"/>
    <x v="42"/>
    <x v="4"/>
    <x v="2"/>
    <n v="65"/>
    <n v="72.989999999999995"/>
    <n v="780"/>
    <n v="875.87999999999988"/>
    <x v="28"/>
    <x v="6"/>
    <x v="0"/>
  </r>
  <r>
    <d v="2025-07-23T00:00:00"/>
    <s v="P0021"/>
    <n v="5"/>
    <x v="1"/>
    <x v="0"/>
    <n v="0"/>
    <x v="18"/>
    <x v="0"/>
    <x v="2"/>
    <n v="84"/>
    <n v="97.29"/>
    <n v="420"/>
    <n v="486.45000000000005"/>
    <x v="15"/>
    <x v="6"/>
    <x v="0"/>
  </r>
  <r>
    <d v="2025-07-23T00:00:00"/>
    <s v="P0014"/>
    <n v="7"/>
    <x v="0"/>
    <x v="0"/>
    <n v="0.08"/>
    <x v="2"/>
    <x v="2"/>
    <x v="2"/>
    <n v="112"/>
    <n v="114.76"/>
    <n v="784"/>
    <n v="803.32"/>
    <x v="15"/>
    <x v="6"/>
    <x v="0"/>
  </r>
  <r>
    <d v="2025-07-26T00:00:00"/>
    <s v="P0033"/>
    <n v="14"/>
    <x v="0"/>
    <x v="0"/>
    <n v="0"/>
    <x v="44"/>
    <x v="1"/>
    <x v="0"/>
    <n v="9"/>
    <n v="10.050000000000001"/>
    <n v="126"/>
    <n v="140.70000000000002"/>
    <x v="30"/>
    <x v="6"/>
    <x v="0"/>
  </r>
  <r>
    <d v="2025-07-29T00:00:00"/>
    <s v="P0022"/>
    <n v="6"/>
    <x v="1"/>
    <x v="1"/>
    <n v="0"/>
    <x v="10"/>
    <x v="0"/>
    <x v="3"/>
    <n v="110"/>
    <n v="126.43"/>
    <n v="660"/>
    <n v="758.58"/>
    <x v="19"/>
    <x v="6"/>
    <x v="0"/>
  </r>
  <r>
    <d v="2025-07-29T00:00:00"/>
    <s v="P0008"/>
    <n v="3"/>
    <x v="2"/>
    <x v="1"/>
    <n v="0"/>
    <x v="20"/>
    <x v="2"/>
    <x v="2"/>
    <n v="60"/>
    <n v="67.760000000000005"/>
    <n v="180"/>
    <n v="203.28000000000003"/>
    <x v="19"/>
    <x v="6"/>
    <x v="0"/>
  </r>
  <r>
    <d v="2025-07-29T00:00:00"/>
    <s v="P0044"/>
    <n v="8"/>
    <x v="2"/>
    <x v="0"/>
    <n v="0"/>
    <x v="32"/>
    <x v="3"/>
    <x v="2"/>
    <n v="76"/>
    <n v="87.09"/>
    <n v="608"/>
    <n v="696.72"/>
    <x v="19"/>
    <x v="6"/>
    <x v="0"/>
  </r>
  <r>
    <d v="2025-07-30T00:00:00"/>
    <s v="P0043"/>
    <n v="14"/>
    <x v="1"/>
    <x v="1"/>
    <n v="0"/>
    <x v="29"/>
    <x v="3"/>
    <x v="0"/>
    <n v="11"/>
    <n v="12.75"/>
    <n v="154"/>
    <n v="178.5"/>
    <x v="20"/>
    <x v="6"/>
    <x v="0"/>
  </r>
  <r>
    <d v="2025-07-30T00:00:00"/>
    <s v="P0003"/>
    <n v="6"/>
    <x v="1"/>
    <x v="0"/>
    <n v="0"/>
    <x v="15"/>
    <x v="4"/>
    <x v="2"/>
    <n v="71"/>
    <n v="81.39"/>
    <n v="426"/>
    <n v="488.34000000000003"/>
    <x v="20"/>
    <x v="6"/>
    <x v="0"/>
  </r>
  <r>
    <d v="2025-07-31T00:00:00"/>
    <s v="P0022"/>
    <n v="14"/>
    <x v="1"/>
    <x v="0"/>
    <n v="0"/>
    <x v="10"/>
    <x v="0"/>
    <x v="3"/>
    <n v="110"/>
    <n v="122.24"/>
    <n v="1540"/>
    <n v="1711.36"/>
    <x v="21"/>
    <x v="6"/>
    <x v="0"/>
  </r>
  <r>
    <d v="2025-07-31T00:00:00"/>
    <s v="P0025"/>
    <n v="13"/>
    <x v="2"/>
    <x v="1"/>
    <n v="0"/>
    <x v="0"/>
    <x v="0"/>
    <x v="0"/>
    <n v="7"/>
    <n v="7.68"/>
    <n v="91"/>
    <n v="99.84"/>
    <x v="21"/>
    <x v="6"/>
    <x v="0"/>
  </r>
  <r>
    <d v="2025-07-31T00:00:00"/>
    <s v="P0038"/>
    <n v="4"/>
    <x v="1"/>
    <x v="0"/>
    <n v="0"/>
    <x v="34"/>
    <x v="3"/>
    <x v="2"/>
    <n v="72"/>
    <n v="80.77"/>
    <n v="288"/>
    <n v="323.08"/>
    <x v="21"/>
    <x v="6"/>
    <x v="0"/>
  </r>
  <r>
    <d v="2025-08-02T00:00:00"/>
    <s v="P0019"/>
    <n v="2"/>
    <x v="2"/>
    <x v="0"/>
    <n v="0"/>
    <x v="12"/>
    <x v="0"/>
    <x v="2"/>
    <n v="67"/>
    <n v="78.709999999999994"/>
    <n v="134"/>
    <n v="157.41999999999999"/>
    <x v="0"/>
    <x v="7"/>
    <x v="0"/>
  </r>
  <r>
    <d v="2025-08-03T00:00:00"/>
    <s v="P0011"/>
    <n v="14"/>
    <x v="2"/>
    <x v="1"/>
    <n v="0"/>
    <x v="3"/>
    <x v="2"/>
    <x v="2"/>
    <n v="47"/>
    <n v="51.01"/>
    <n v="658"/>
    <n v="714.14"/>
    <x v="1"/>
    <x v="7"/>
    <x v="0"/>
  </r>
  <r>
    <d v="2025-08-04T00:00:00"/>
    <s v="P0017"/>
    <n v="14"/>
    <x v="2"/>
    <x v="1"/>
    <n v="0"/>
    <x v="4"/>
    <x v="0"/>
    <x v="0"/>
    <n v="12"/>
    <n v="13.02"/>
    <n v="168"/>
    <n v="182.28"/>
    <x v="2"/>
    <x v="7"/>
    <x v="0"/>
  </r>
  <r>
    <d v="2025-08-04T00:00:00"/>
    <s v="P0034"/>
    <n v="2"/>
    <x v="1"/>
    <x v="0"/>
    <n v="0"/>
    <x v="36"/>
    <x v="1"/>
    <x v="1"/>
    <n v="55"/>
    <n v="61.39"/>
    <n v="110"/>
    <n v="122.78"/>
    <x v="2"/>
    <x v="7"/>
    <x v="0"/>
  </r>
  <r>
    <d v="2025-08-05T00:00:00"/>
    <s v="P0014"/>
    <n v="15"/>
    <x v="1"/>
    <x v="1"/>
    <n v="0"/>
    <x v="2"/>
    <x v="2"/>
    <x v="2"/>
    <n v="112"/>
    <n v="125.43"/>
    <n v="1680"/>
    <n v="1881.45"/>
    <x v="23"/>
    <x v="7"/>
    <x v="0"/>
  </r>
  <r>
    <d v="2025-08-05T00:00:00"/>
    <s v="P0018"/>
    <n v="1"/>
    <x v="2"/>
    <x v="1"/>
    <n v="0"/>
    <x v="11"/>
    <x v="0"/>
    <x v="0"/>
    <n v="8"/>
    <n v="8.85"/>
    <n v="8"/>
    <n v="8.85"/>
    <x v="23"/>
    <x v="7"/>
    <x v="0"/>
  </r>
  <r>
    <d v="2025-08-05T00:00:00"/>
    <s v="P0004"/>
    <n v="5"/>
    <x v="1"/>
    <x v="0"/>
    <n v="0"/>
    <x v="37"/>
    <x v="4"/>
    <x v="1"/>
    <n v="44"/>
    <n v="49.75"/>
    <n v="220"/>
    <n v="248.75"/>
    <x v="23"/>
    <x v="7"/>
    <x v="0"/>
  </r>
  <r>
    <d v="2025-08-05T00:00:00"/>
    <s v="P0025"/>
    <n v="2"/>
    <x v="2"/>
    <x v="0"/>
    <n v="0"/>
    <x v="0"/>
    <x v="0"/>
    <x v="0"/>
    <n v="7"/>
    <n v="7.93"/>
    <n v="14"/>
    <n v="15.86"/>
    <x v="23"/>
    <x v="7"/>
    <x v="0"/>
  </r>
  <r>
    <d v="2025-08-05T00:00:00"/>
    <s v="P0045"/>
    <n v="3"/>
    <x v="1"/>
    <x v="1"/>
    <n v="0"/>
    <x v="5"/>
    <x v="3"/>
    <x v="1"/>
    <n v="63"/>
    <n v="72.64"/>
    <n v="189"/>
    <n v="217.92000000000002"/>
    <x v="23"/>
    <x v="7"/>
    <x v="0"/>
  </r>
  <r>
    <d v="2025-08-07T00:00:00"/>
    <s v="P0044"/>
    <n v="2"/>
    <x v="1"/>
    <x v="0"/>
    <n v="0.02"/>
    <x v="32"/>
    <x v="3"/>
    <x v="2"/>
    <n v="76"/>
    <n v="82.84"/>
    <n v="152"/>
    <n v="165.68"/>
    <x v="3"/>
    <x v="7"/>
    <x v="0"/>
  </r>
  <r>
    <d v="2025-08-07T00:00:00"/>
    <s v="P0036"/>
    <n v="8"/>
    <x v="2"/>
    <x v="0"/>
    <n v="0"/>
    <x v="13"/>
    <x v="3"/>
    <x v="2"/>
    <n v="102"/>
    <n v="117.01"/>
    <n v="816"/>
    <n v="936.08"/>
    <x v="3"/>
    <x v="7"/>
    <x v="0"/>
  </r>
  <r>
    <d v="2025-08-07T00:00:00"/>
    <s v="P0030"/>
    <n v="4"/>
    <x v="1"/>
    <x v="1"/>
    <n v="0"/>
    <x v="16"/>
    <x v="1"/>
    <x v="2"/>
    <n v="79"/>
    <n v="90.51"/>
    <n v="316"/>
    <n v="362.04"/>
    <x v="3"/>
    <x v="7"/>
    <x v="0"/>
  </r>
  <r>
    <d v="2025-08-07T00:00:00"/>
    <s v="P0006"/>
    <n v="5"/>
    <x v="0"/>
    <x v="0"/>
    <n v="0.02"/>
    <x v="9"/>
    <x v="4"/>
    <x v="2"/>
    <n v="75"/>
    <n v="80.900000000000006"/>
    <n v="375"/>
    <n v="404.5"/>
    <x v="3"/>
    <x v="7"/>
    <x v="0"/>
  </r>
  <r>
    <d v="2025-08-08T00:00:00"/>
    <s v="P0020"/>
    <n v="10"/>
    <x v="1"/>
    <x v="1"/>
    <n v="0"/>
    <x v="21"/>
    <x v="0"/>
    <x v="1"/>
    <n v="61"/>
    <n v="67.150000000000006"/>
    <n v="610"/>
    <n v="671.5"/>
    <x v="4"/>
    <x v="7"/>
    <x v="0"/>
  </r>
  <r>
    <d v="2025-08-08T00:00:00"/>
    <s v="P0013"/>
    <n v="12"/>
    <x v="0"/>
    <x v="0"/>
    <n v="0.08"/>
    <x v="43"/>
    <x v="2"/>
    <x v="2"/>
    <n v="112"/>
    <n v="112.25"/>
    <n v="1344"/>
    <n v="1347"/>
    <x v="4"/>
    <x v="7"/>
    <x v="0"/>
  </r>
  <r>
    <d v="2025-08-08T00:00:00"/>
    <s v="P0021"/>
    <n v="13"/>
    <x v="2"/>
    <x v="0"/>
    <n v="0"/>
    <x v="18"/>
    <x v="0"/>
    <x v="2"/>
    <n v="84"/>
    <n v="92.8"/>
    <n v="1092"/>
    <n v="1206.3999999999999"/>
    <x v="4"/>
    <x v="7"/>
    <x v="0"/>
  </r>
  <r>
    <d v="2025-08-09T00:00:00"/>
    <s v="P0007"/>
    <n v="1"/>
    <x v="2"/>
    <x v="1"/>
    <n v="0"/>
    <x v="38"/>
    <x v="2"/>
    <x v="2"/>
    <n v="88"/>
    <n v="99.61"/>
    <n v="88"/>
    <n v="99.61"/>
    <x v="5"/>
    <x v="7"/>
    <x v="0"/>
  </r>
  <r>
    <d v="2025-08-09T00:00:00"/>
    <s v="P0042"/>
    <n v="3"/>
    <x v="1"/>
    <x v="0"/>
    <n v="0"/>
    <x v="30"/>
    <x v="3"/>
    <x v="3"/>
    <n v="120"/>
    <n v="130.82"/>
    <n v="360"/>
    <n v="392.46"/>
    <x v="5"/>
    <x v="7"/>
    <x v="0"/>
  </r>
  <r>
    <d v="2025-08-11T00:00:00"/>
    <s v="P0018"/>
    <n v="7"/>
    <x v="2"/>
    <x v="1"/>
    <n v="0"/>
    <x v="11"/>
    <x v="0"/>
    <x v="0"/>
    <n v="8"/>
    <n v="9.4"/>
    <n v="56"/>
    <n v="65.8"/>
    <x v="25"/>
    <x v="7"/>
    <x v="0"/>
  </r>
  <r>
    <d v="2025-08-11T00:00:00"/>
    <s v="P0013"/>
    <n v="14"/>
    <x v="1"/>
    <x v="0"/>
    <n v="0"/>
    <x v="43"/>
    <x v="2"/>
    <x v="2"/>
    <n v="112"/>
    <n v="129.1"/>
    <n v="1568"/>
    <n v="1807.3999999999999"/>
    <x v="25"/>
    <x v="7"/>
    <x v="0"/>
  </r>
  <r>
    <d v="2025-08-12T00:00:00"/>
    <s v="P0041"/>
    <n v="8"/>
    <x v="1"/>
    <x v="1"/>
    <n v="0"/>
    <x v="8"/>
    <x v="3"/>
    <x v="3"/>
    <n v="98"/>
    <n v="111.35"/>
    <n v="784"/>
    <n v="890.8"/>
    <x v="26"/>
    <x v="7"/>
    <x v="0"/>
  </r>
  <r>
    <d v="2025-08-13T00:00:00"/>
    <s v="P0015"/>
    <n v="9"/>
    <x v="2"/>
    <x v="1"/>
    <n v="0"/>
    <x v="22"/>
    <x v="0"/>
    <x v="3"/>
    <n v="130"/>
    <n v="153.32"/>
    <n v="1170"/>
    <n v="1379.8799999999999"/>
    <x v="27"/>
    <x v="7"/>
    <x v="0"/>
  </r>
  <r>
    <d v="2025-08-13T00:00:00"/>
    <s v="P0027"/>
    <n v="3"/>
    <x v="0"/>
    <x v="0"/>
    <n v="0"/>
    <x v="1"/>
    <x v="1"/>
    <x v="1"/>
    <n v="48"/>
    <n v="53.64"/>
    <n v="144"/>
    <n v="160.92000000000002"/>
    <x v="27"/>
    <x v="7"/>
    <x v="0"/>
  </r>
  <r>
    <d v="2025-08-14T00:00:00"/>
    <s v="P0007"/>
    <n v="9"/>
    <x v="0"/>
    <x v="1"/>
    <n v="0"/>
    <x v="38"/>
    <x v="2"/>
    <x v="2"/>
    <n v="88"/>
    <n v="100.8"/>
    <n v="792"/>
    <n v="907.19999999999993"/>
    <x v="7"/>
    <x v="7"/>
    <x v="0"/>
  </r>
  <r>
    <d v="2025-08-14T00:00:00"/>
    <s v="P0021"/>
    <n v="7"/>
    <x v="2"/>
    <x v="1"/>
    <n v="0"/>
    <x v="18"/>
    <x v="0"/>
    <x v="2"/>
    <n v="84"/>
    <n v="97.23"/>
    <n v="588"/>
    <n v="680.61"/>
    <x v="7"/>
    <x v="7"/>
    <x v="0"/>
  </r>
  <r>
    <d v="2025-08-15T00:00:00"/>
    <s v="P0036"/>
    <n v="12"/>
    <x v="2"/>
    <x v="1"/>
    <n v="0"/>
    <x v="13"/>
    <x v="3"/>
    <x v="2"/>
    <n v="102"/>
    <n v="119.8"/>
    <n v="1224"/>
    <n v="1437.6"/>
    <x v="8"/>
    <x v="7"/>
    <x v="0"/>
  </r>
  <r>
    <d v="2025-08-15T00:00:00"/>
    <s v="P0027"/>
    <n v="5"/>
    <x v="2"/>
    <x v="1"/>
    <n v="0"/>
    <x v="1"/>
    <x v="1"/>
    <x v="1"/>
    <n v="48"/>
    <n v="52.37"/>
    <n v="240"/>
    <n v="261.84999999999997"/>
    <x v="8"/>
    <x v="7"/>
    <x v="0"/>
  </r>
  <r>
    <d v="2025-08-16T00:00:00"/>
    <s v="P0016"/>
    <n v="14"/>
    <x v="2"/>
    <x v="0"/>
    <n v="0"/>
    <x v="19"/>
    <x v="0"/>
    <x v="3"/>
    <n v="95"/>
    <n v="111.89"/>
    <n v="1330"/>
    <n v="1566.46"/>
    <x v="9"/>
    <x v="7"/>
    <x v="0"/>
  </r>
  <r>
    <d v="2025-08-16T00:00:00"/>
    <s v="P0006"/>
    <n v="13"/>
    <x v="1"/>
    <x v="0"/>
    <n v="0"/>
    <x v="9"/>
    <x v="4"/>
    <x v="2"/>
    <n v="75"/>
    <n v="86.32"/>
    <n v="975"/>
    <n v="1122.1599999999999"/>
    <x v="9"/>
    <x v="7"/>
    <x v="0"/>
  </r>
  <r>
    <d v="2025-08-17T00:00:00"/>
    <s v="P0003"/>
    <n v="12"/>
    <x v="0"/>
    <x v="0"/>
    <n v="0"/>
    <x v="15"/>
    <x v="4"/>
    <x v="2"/>
    <n v="71"/>
    <n v="81.22"/>
    <n v="852"/>
    <n v="974.64"/>
    <x v="10"/>
    <x v="7"/>
    <x v="0"/>
  </r>
  <r>
    <d v="2025-08-18T00:00:00"/>
    <s v="P0015"/>
    <n v="9"/>
    <x v="2"/>
    <x v="0"/>
    <n v="0"/>
    <x v="22"/>
    <x v="0"/>
    <x v="3"/>
    <n v="130"/>
    <n v="142.91999999999999"/>
    <n v="1170"/>
    <n v="1286.28"/>
    <x v="11"/>
    <x v="7"/>
    <x v="0"/>
  </r>
  <r>
    <d v="2025-08-24T00:00:00"/>
    <s v="P0023"/>
    <n v="5"/>
    <x v="0"/>
    <x v="1"/>
    <n v="0.05"/>
    <x v="7"/>
    <x v="0"/>
    <x v="3"/>
    <n v="141"/>
    <n v="150"/>
    <n v="705"/>
    <n v="750"/>
    <x v="16"/>
    <x v="7"/>
    <x v="0"/>
  </r>
  <r>
    <d v="2025-08-24T00:00:00"/>
    <s v="P0017"/>
    <n v="11"/>
    <x v="2"/>
    <x v="0"/>
    <n v="0"/>
    <x v="4"/>
    <x v="0"/>
    <x v="0"/>
    <n v="12"/>
    <n v="13.77"/>
    <n v="132"/>
    <n v="151.47"/>
    <x v="16"/>
    <x v="7"/>
    <x v="0"/>
  </r>
  <r>
    <d v="2025-08-24T00:00:00"/>
    <s v="P0005"/>
    <n v="14"/>
    <x v="2"/>
    <x v="0"/>
    <n v="0"/>
    <x v="23"/>
    <x v="4"/>
    <x v="1"/>
    <n v="52"/>
    <n v="59.85"/>
    <n v="728"/>
    <n v="837.9"/>
    <x v="16"/>
    <x v="7"/>
    <x v="0"/>
  </r>
  <r>
    <d v="2025-08-24T00:00:00"/>
    <s v="P0045"/>
    <n v="15"/>
    <x v="2"/>
    <x v="0"/>
    <n v="0"/>
    <x v="5"/>
    <x v="3"/>
    <x v="1"/>
    <n v="63"/>
    <n v="69.569999999999993"/>
    <n v="945"/>
    <n v="1043.55"/>
    <x v="16"/>
    <x v="7"/>
    <x v="0"/>
  </r>
  <r>
    <d v="2025-08-25T00:00:00"/>
    <s v="P0016"/>
    <n v="14"/>
    <x v="0"/>
    <x v="0"/>
    <n v="0"/>
    <x v="19"/>
    <x v="0"/>
    <x v="3"/>
    <n v="95"/>
    <n v="103.53"/>
    <n v="1330"/>
    <n v="1449.42"/>
    <x v="29"/>
    <x v="7"/>
    <x v="0"/>
  </r>
  <r>
    <d v="2025-08-26T00:00:00"/>
    <s v="P0037"/>
    <n v="10"/>
    <x v="1"/>
    <x v="0"/>
    <n v="0.05"/>
    <x v="24"/>
    <x v="3"/>
    <x v="2"/>
    <n v="67"/>
    <n v="69.900000000000006"/>
    <n v="670"/>
    <n v="699"/>
    <x v="30"/>
    <x v="7"/>
    <x v="0"/>
  </r>
  <r>
    <d v="2025-08-26T00:00:00"/>
    <s v="P0014"/>
    <n v="6"/>
    <x v="1"/>
    <x v="0"/>
    <n v="0"/>
    <x v="2"/>
    <x v="2"/>
    <x v="2"/>
    <n v="112"/>
    <n v="124.54"/>
    <n v="672"/>
    <n v="747.24"/>
    <x v="30"/>
    <x v="7"/>
    <x v="0"/>
  </r>
  <r>
    <d v="2025-08-27T00:00:00"/>
    <s v="P0027"/>
    <n v="1"/>
    <x v="2"/>
    <x v="0"/>
    <n v="0"/>
    <x v="1"/>
    <x v="1"/>
    <x v="1"/>
    <n v="48"/>
    <n v="55.54"/>
    <n v="48"/>
    <n v="55.54"/>
    <x v="17"/>
    <x v="7"/>
    <x v="0"/>
  </r>
  <r>
    <d v="2025-08-29T00:00:00"/>
    <s v="P0031"/>
    <n v="8"/>
    <x v="2"/>
    <x v="1"/>
    <n v="0"/>
    <x v="28"/>
    <x v="1"/>
    <x v="2"/>
    <n v="93"/>
    <n v="108.45"/>
    <n v="744"/>
    <n v="867.6"/>
    <x v="19"/>
    <x v="7"/>
    <x v="0"/>
  </r>
  <r>
    <d v="2025-08-29T00:00:00"/>
    <s v="P0021"/>
    <n v="15"/>
    <x v="2"/>
    <x v="0"/>
    <n v="0"/>
    <x v="18"/>
    <x v="0"/>
    <x v="2"/>
    <n v="84"/>
    <n v="95.45"/>
    <n v="1260"/>
    <n v="1431.75"/>
    <x v="19"/>
    <x v="7"/>
    <x v="0"/>
  </r>
  <r>
    <d v="2025-08-30T00:00:00"/>
    <s v="P0004"/>
    <n v="12"/>
    <x v="2"/>
    <x v="1"/>
    <n v="0"/>
    <x v="37"/>
    <x v="4"/>
    <x v="1"/>
    <n v="44"/>
    <n v="51.91"/>
    <n v="528"/>
    <n v="622.91999999999996"/>
    <x v="20"/>
    <x v="7"/>
    <x v="0"/>
  </r>
  <r>
    <d v="2025-08-30T00:00:00"/>
    <s v="P0007"/>
    <n v="11"/>
    <x v="1"/>
    <x v="1"/>
    <n v="0"/>
    <x v="38"/>
    <x v="2"/>
    <x v="2"/>
    <n v="88"/>
    <n v="103.65"/>
    <n v="968"/>
    <n v="1140.1500000000001"/>
    <x v="20"/>
    <x v="7"/>
    <x v="0"/>
  </r>
  <r>
    <d v="2025-09-02T00:00:00"/>
    <s v="P0034"/>
    <n v="7"/>
    <x v="2"/>
    <x v="1"/>
    <n v="0"/>
    <x v="36"/>
    <x v="1"/>
    <x v="1"/>
    <n v="55"/>
    <n v="62.33"/>
    <n v="385"/>
    <n v="436.31"/>
    <x v="0"/>
    <x v="8"/>
    <x v="0"/>
  </r>
  <r>
    <d v="2025-09-03T00:00:00"/>
    <s v="P0034"/>
    <n v="7"/>
    <x v="1"/>
    <x v="1"/>
    <n v="0"/>
    <x v="36"/>
    <x v="1"/>
    <x v="1"/>
    <n v="55"/>
    <n v="61.14"/>
    <n v="385"/>
    <n v="427.98"/>
    <x v="1"/>
    <x v="8"/>
    <x v="0"/>
  </r>
  <r>
    <d v="2025-09-03T00:00:00"/>
    <s v="P0037"/>
    <n v="11"/>
    <x v="1"/>
    <x v="1"/>
    <n v="0"/>
    <x v="24"/>
    <x v="3"/>
    <x v="2"/>
    <n v="67"/>
    <n v="72.849999999999994"/>
    <n v="737"/>
    <n v="801.34999999999991"/>
    <x v="1"/>
    <x v="8"/>
    <x v="0"/>
  </r>
  <r>
    <d v="2025-09-04T00:00:00"/>
    <s v="P0024"/>
    <n v="9"/>
    <x v="0"/>
    <x v="1"/>
    <n v="0.05"/>
    <x v="39"/>
    <x v="0"/>
    <x v="3"/>
    <n v="144"/>
    <n v="151.47999999999999"/>
    <n v="1296"/>
    <n v="1363.32"/>
    <x v="2"/>
    <x v="8"/>
    <x v="0"/>
  </r>
  <r>
    <d v="2025-09-06T00:00:00"/>
    <s v="P0002"/>
    <n v="7"/>
    <x v="2"/>
    <x v="0"/>
    <n v="0"/>
    <x v="42"/>
    <x v="4"/>
    <x v="2"/>
    <n v="65"/>
    <n v="75.66"/>
    <n v="455"/>
    <n v="529.62"/>
    <x v="24"/>
    <x v="8"/>
    <x v="0"/>
  </r>
  <r>
    <d v="2025-09-07T00:00:00"/>
    <s v="P0035"/>
    <n v="1"/>
    <x v="1"/>
    <x v="1"/>
    <n v="0"/>
    <x v="6"/>
    <x v="1"/>
    <x v="0"/>
    <n v="5"/>
    <n v="5.86"/>
    <n v="5"/>
    <n v="5.86"/>
    <x v="3"/>
    <x v="8"/>
    <x v="0"/>
  </r>
  <r>
    <d v="2025-09-08T00:00:00"/>
    <s v="P0040"/>
    <n v="7"/>
    <x v="0"/>
    <x v="0"/>
    <n v="0.08"/>
    <x v="40"/>
    <x v="3"/>
    <x v="2"/>
    <n v="90"/>
    <n v="91.23"/>
    <n v="630"/>
    <n v="638.61"/>
    <x v="4"/>
    <x v="8"/>
    <x v="0"/>
  </r>
  <r>
    <d v="2025-09-08T00:00:00"/>
    <s v="P0042"/>
    <n v="12"/>
    <x v="1"/>
    <x v="1"/>
    <n v="0"/>
    <x v="30"/>
    <x v="3"/>
    <x v="3"/>
    <n v="120"/>
    <n v="133.83000000000001"/>
    <n v="1440"/>
    <n v="1605.96"/>
    <x v="4"/>
    <x v="8"/>
    <x v="0"/>
  </r>
  <r>
    <d v="2025-09-08T00:00:00"/>
    <s v="P0034"/>
    <n v="11"/>
    <x v="2"/>
    <x v="0"/>
    <n v="0"/>
    <x v="36"/>
    <x v="1"/>
    <x v="1"/>
    <n v="55"/>
    <n v="62.63"/>
    <n v="605"/>
    <n v="688.93000000000006"/>
    <x v="4"/>
    <x v="8"/>
    <x v="0"/>
  </r>
  <r>
    <d v="2025-09-08T00:00:00"/>
    <s v="P0043"/>
    <n v="5"/>
    <x v="2"/>
    <x v="0"/>
    <n v="0"/>
    <x v="29"/>
    <x v="3"/>
    <x v="0"/>
    <n v="11"/>
    <n v="12.85"/>
    <n v="55"/>
    <n v="64.25"/>
    <x v="4"/>
    <x v="8"/>
    <x v="0"/>
  </r>
  <r>
    <d v="2025-09-10T00:00:00"/>
    <s v="P0002"/>
    <n v="6"/>
    <x v="1"/>
    <x v="0"/>
    <n v="0"/>
    <x v="42"/>
    <x v="4"/>
    <x v="2"/>
    <n v="65"/>
    <n v="76.59"/>
    <n v="390"/>
    <n v="459.54"/>
    <x v="6"/>
    <x v="8"/>
    <x v="0"/>
  </r>
  <r>
    <d v="2025-09-11T00:00:00"/>
    <s v="P0036"/>
    <n v="9"/>
    <x v="2"/>
    <x v="1"/>
    <n v="0"/>
    <x v="13"/>
    <x v="3"/>
    <x v="2"/>
    <n v="102"/>
    <n v="115.7"/>
    <n v="918"/>
    <n v="1041.3"/>
    <x v="25"/>
    <x v="8"/>
    <x v="0"/>
  </r>
  <r>
    <d v="2025-09-12T00:00:00"/>
    <s v="P0019"/>
    <n v="13"/>
    <x v="1"/>
    <x v="0"/>
    <n v="0"/>
    <x v="12"/>
    <x v="0"/>
    <x v="2"/>
    <n v="67"/>
    <n v="73.63"/>
    <n v="871"/>
    <n v="957.18999999999994"/>
    <x v="26"/>
    <x v="8"/>
    <x v="0"/>
  </r>
  <r>
    <d v="2025-09-12T00:00:00"/>
    <s v="P0045"/>
    <n v="8"/>
    <x v="2"/>
    <x v="0"/>
    <n v="0"/>
    <x v="5"/>
    <x v="3"/>
    <x v="1"/>
    <n v="63"/>
    <n v="72.62"/>
    <n v="504"/>
    <n v="580.96"/>
    <x v="26"/>
    <x v="8"/>
    <x v="0"/>
  </r>
  <r>
    <d v="2025-09-12T00:00:00"/>
    <s v="P0010"/>
    <n v="6"/>
    <x v="1"/>
    <x v="1"/>
    <n v="0"/>
    <x v="26"/>
    <x v="2"/>
    <x v="2"/>
    <n v="105"/>
    <n v="116.75"/>
    <n v="630"/>
    <n v="700.5"/>
    <x v="26"/>
    <x v="8"/>
    <x v="0"/>
  </r>
  <r>
    <d v="2025-09-13T00:00:00"/>
    <s v="P0026"/>
    <n v="15"/>
    <x v="0"/>
    <x v="0"/>
    <n v="0.05"/>
    <x v="35"/>
    <x v="1"/>
    <x v="2"/>
    <n v="56"/>
    <n v="58.77"/>
    <n v="840"/>
    <n v="881.55000000000007"/>
    <x v="27"/>
    <x v="8"/>
    <x v="0"/>
  </r>
  <r>
    <d v="2025-09-13T00:00:00"/>
    <s v="P0041"/>
    <n v="8"/>
    <x v="1"/>
    <x v="1"/>
    <n v="0"/>
    <x v="8"/>
    <x v="3"/>
    <x v="3"/>
    <n v="98"/>
    <n v="107.12"/>
    <n v="784"/>
    <n v="856.96"/>
    <x v="27"/>
    <x v="8"/>
    <x v="0"/>
  </r>
  <r>
    <d v="2025-09-13T00:00:00"/>
    <s v="P0027"/>
    <n v="15"/>
    <x v="1"/>
    <x v="1"/>
    <n v="0.05"/>
    <x v="1"/>
    <x v="1"/>
    <x v="1"/>
    <n v="48"/>
    <n v="49.88"/>
    <n v="720"/>
    <n v="748.2"/>
    <x v="27"/>
    <x v="8"/>
    <x v="0"/>
  </r>
  <r>
    <d v="2025-09-14T00:00:00"/>
    <s v="P0035"/>
    <n v="8"/>
    <x v="2"/>
    <x v="1"/>
    <n v="0"/>
    <x v="6"/>
    <x v="1"/>
    <x v="0"/>
    <n v="5"/>
    <n v="5.77"/>
    <n v="40"/>
    <n v="46.16"/>
    <x v="7"/>
    <x v="8"/>
    <x v="0"/>
  </r>
  <r>
    <d v="2025-09-14T00:00:00"/>
    <s v="P0027"/>
    <n v="7"/>
    <x v="1"/>
    <x v="1"/>
    <n v="0"/>
    <x v="1"/>
    <x v="1"/>
    <x v="1"/>
    <n v="48"/>
    <n v="54.42"/>
    <n v="336"/>
    <n v="380.94"/>
    <x v="7"/>
    <x v="8"/>
    <x v="0"/>
  </r>
  <r>
    <d v="2025-09-17T00:00:00"/>
    <s v="P0018"/>
    <n v="14"/>
    <x v="2"/>
    <x v="0"/>
    <n v="0"/>
    <x v="11"/>
    <x v="0"/>
    <x v="0"/>
    <n v="8"/>
    <n v="9.1"/>
    <n v="112"/>
    <n v="127.39999999999999"/>
    <x v="10"/>
    <x v="8"/>
    <x v="0"/>
  </r>
  <r>
    <d v="2025-09-18T00:00:00"/>
    <s v="P0018"/>
    <n v="7"/>
    <x v="0"/>
    <x v="0"/>
    <n v="0.05"/>
    <x v="11"/>
    <x v="0"/>
    <x v="0"/>
    <n v="8"/>
    <n v="8.5"/>
    <n v="56"/>
    <n v="59.5"/>
    <x v="11"/>
    <x v="8"/>
    <x v="0"/>
  </r>
  <r>
    <d v="2025-09-20T00:00:00"/>
    <s v="P0010"/>
    <n v="14"/>
    <x v="2"/>
    <x v="1"/>
    <n v="0"/>
    <x v="26"/>
    <x v="2"/>
    <x v="2"/>
    <n v="105"/>
    <n v="122.69"/>
    <n v="1470"/>
    <n v="1717.6599999999999"/>
    <x v="13"/>
    <x v="8"/>
    <x v="0"/>
  </r>
  <r>
    <d v="2025-09-22T00:00:00"/>
    <s v="P0037"/>
    <n v="11"/>
    <x v="0"/>
    <x v="1"/>
    <n v="0.1"/>
    <x v="24"/>
    <x v="3"/>
    <x v="2"/>
    <n v="67"/>
    <n v="66.17"/>
    <n v="737"/>
    <n v="727.87"/>
    <x v="28"/>
    <x v="8"/>
    <x v="0"/>
  </r>
  <r>
    <d v="2025-09-25T00:00:00"/>
    <s v="P0021"/>
    <n v="15"/>
    <x v="2"/>
    <x v="0"/>
    <n v="0"/>
    <x v="18"/>
    <x v="0"/>
    <x v="2"/>
    <n v="84"/>
    <n v="94.04"/>
    <n v="1260"/>
    <n v="1410.6000000000001"/>
    <x v="29"/>
    <x v="8"/>
    <x v="0"/>
  </r>
  <r>
    <d v="2025-09-25T00:00:00"/>
    <s v="P0042"/>
    <n v="5"/>
    <x v="1"/>
    <x v="0"/>
    <n v="0"/>
    <x v="30"/>
    <x v="3"/>
    <x v="3"/>
    <n v="120"/>
    <n v="139.51"/>
    <n v="600"/>
    <n v="697.55"/>
    <x v="29"/>
    <x v="8"/>
    <x v="0"/>
  </r>
  <r>
    <d v="2025-09-26T00:00:00"/>
    <s v="P0039"/>
    <n v="5"/>
    <x v="0"/>
    <x v="1"/>
    <n v="0.08"/>
    <x v="27"/>
    <x v="3"/>
    <x v="1"/>
    <n v="41"/>
    <n v="41.42"/>
    <n v="205"/>
    <n v="207.10000000000002"/>
    <x v="30"/>
    <x v="8"/>
    <x v="0"/>
  </r>
  <r>
    <d v="2025-09-26T00:00:00"/>
    <s v="P0021"/>
    <n v="12"/>
    <x v="2"/>
    <x v="1"/>
    <n v="0"/>
    <x v="18"/>
    <x v="0"/>
    <x v="2"/>
    <n v="84"/>
    <n v="92.26"/>
    <n v="1008"/>
    <n v="1107.1200000000001"/>
    <x v="30"/>
    <x v="8"/>
    <x v="0"/>
  </r>
  <r>
    <d v="2025-09-27T00:00:00"/>
    <s v="P0003"/>
    <n v="11"/>
    <x v="2"/>
    <x v="1"/>
    <n v="0"/>
    <x v="15"/>
    <x v="4"/>
    <x v="2"/>
    <n v="71"/>
    <n v="77.78"/>
    <n v="781"/>
    <n v="855.58"/>
    <x v="17"/>
    <x v="8"/>
    <x v="0"/>
  </r>
  <r>
    <d v="2025-09-27T00:00:00"/>
    <s v="P0035"/>
    <n v="9"/>
    <x v="1"/>
    <x v="1"/>
    <n v="0"/>
    <x v="6"/>
    <x v="1"/>
    <x v="0"/>
    <n v="5"/>
    <n v="5.64"/>
    <n v="45"/>
    <n v="50.76"/>
    <x v="17"/>
    <x v="8"/>
    <x v="0"/>
  </r>
  <r>
    <d v="2025-09-28T00:00:00"/>
    <s v="P0017"/>
    <n v="9"/>
    <x v="0"/>
    <x v="1"/>
    <n v="0"/>
    <x v="4"/>
    <x v="0"/>
    <x v="0"/>
    <n v="12"/>
    <n v="14.02"/>
    <n v="108"/>
    <n v="126.17999999999999"/>
    <x v="18"/>
    <x v="8"/>
    <x v="0"/>
  </r>
  <r>
    <d v="2025-09-28T00:00:00"/>
    <s v="P0001"/>
    <n v="6"/>
    <x v="0"/>
    <x v="1"/>
    <n v="0.1"/>
    <x v="17"/>
    <x v="4"/>
    <x v="2"/>
    <n v="98"/>
    <n v="98.48"/>
    <n v="588"/>
    <n v="590.88"/>
    <x v="18"/>
    <x v="8"/>
    <x v="0"/>
  </r>
  <r>
    <d v="2025-09-29T00:00:00"/>
    <s v="P0001"/>
    <n v="10"/>
    <x v="2"/>
    <x v="1"/>
    <n v="0"/>
    <x v="17"/>
    <x v="4"/>
    <x v="2"/>
    <n v="98"/>
    <n v="109.4"/>
    <n v="980"/>
    <n v="1094"/>
    <x v="19"/>
    <x v="8"/>
    <x v="0"/>
  </r>
  <r>
    <d v="2025-09-29T00:00:00"/>
    <s v="P0027"/>
    <n v="10"/>
    <x v="1"/>
    <x v="1"/>
    <n v="0"/>
    <x v="1"/>
    <x v="1"/>
    <x v="1"/>
    <n v="48"/>
    <n v="52.22"/>
    <n v="480"/>
    <n v="522.20000000000005"/>
    <x v="19"/>
    <x v="8"/>
    <x v="0"/>
  </r>
  <r>
    <d v="2025-09-29T00:00:00"/>
    <s v="P0018"/>
    <n v="9"/>
    <x v="0"/>
    <x v="1"/>
    <n v="0"/>
    <x v="11"/>
    <x v="0"/>
    <x v="0"/>
    <n v="8"/>
    <n v="8.98"/>
    <n v="72"/>
    <n v="80.820000000000007"/>
    <x v="19"/>
    <x v="8"/>
    <x v="0"/>
  </r>
  <r>
    <d v="2025-09-30T00:00:00"/>
    <s v="P0009"/>
    <n v="3"/>
    <x v="1"/>
    <x v="1"/>
    <n v="0"/>
    <x v="41"/>
    <x v="2"/>
    <x v="1"/>
    <n v="39"/>
    <n v="45.52"/>
    <n v="117"/>
    <n v="136.56"/>
    <x v="20"/>
    <x v="8"/>
    <x v="0"/>
  </r>
  <r>
    <d v="2025-10-02T00:00:00"/>
    <s v="P0008"/>
    <n v="8"/>
    <x v="2"/>
    <x v="0"/>
    <n v="0"/>
    <x v="20"/>
    <x v="2"/>
    <x v="2"/>
    <n v="60"/>
    <n v="69.73"/>
    <n v="480"/>
    <n v="557.84"/>
    <x v="0"/>
    <x v="9"/>
    <x v="0"/>
  </r>
  <r>
    <d v="2025-10-02T00:00:00"/>
    <s v="P0012"/>
    <n v="6"/>
    <x v="2"/>
    <x v="0"/>
    <n v="0"/>
    <x v="14"/>
    <x v="2"/>
    <x v="1"/>
    <n v="58"/>
    <n v="66.53"/>
    <n v="348"/>
    <n v="399.18"/>
    <x v="0"/>
    <x v="9"/>
    <x v="0"/>
  </r>
  <r>
    <d v="2025-10-02T00:00:00"/>
    <s v="P0023"/>
    <n v="13"/>
    <x v="2"/>
    <x v="0"/>
    <n v="0"/>
    <x v="7"/>
    <x v="0"/>
    <x v="3"/>
    <n v="141"/>
    <n v="164.3"/>
    <n v="1833"/>
    <n v="2135.9"/>
    <x v="0"/>
    <x v="9"/>
    <x v="0"/>
  </r>
  <r>
    <d v="2025-10-02T00:00:00"/>
    <s v="P0044"/>
    <n v="14"/>
    <x v="0"/>
    <x v="1"/>
    <n v="0.02"/>
    <x v="32"/>
    <x v="3"/>
    <x v="2"/>
    <n v="76"/>
    <n v="84.18"/>
    <n v="1064"/>
    <n v="1178.52"/>
    <x v="0"/>
    <x v="9"/>
    <x v="0"/>
  </r>
  <r>
    <d v="2025-10-03T00:00:00"/>
    <s v="P0044"/>
    <n v="12"/>
    <x v="0"/>
    <x v="1"/>
    <n v="0.02"/>
    <x v="32"/>
    <x v="3"/>
    <x v="2"/>
    <n v="76"/>
    <n v="87.5"/>
    <n v="912"/>
    <n v="1050"/>
    <x v="1"/>
    <x v="9"/>
    <x v="0"/>
  </r>
  <r>
    <d v="2025-10-03T00:00:00"/>
    <s v="P0026"/>
    <n v="9"/>
    <x v="2"/>
    <x v="1"/>
    <n v="0"/>
    <x v="35"/>
    <x v="1"/>
    <x v="2"/>
    <n v="56"/>
    <n v="64.709999999999994"/>
    <n v="504"/>
    <n v="582.39"/>
    <x v="1"/>
    <x v="9"/>
    <x v="0"/>
  </r>
  <r>
    <d v="2025-10-03T00:00:00"/>
    <s v="P0031"/>
    <n v="4"/>
    <x v="0"/>
    <x v="0"/>
    <n v="0"/>
    <x v="28"/>
    <x v="1"/>
    <x v="2"/>
    <n v="93"/>
    <n v="104.75"/>
    <n v="372"/>
    <n v="419"/>
    <x v="1"/>
    <x v="9"/>
    <x v="0"/>
  </r>
  <r>
    <d v="2025-10-06T00:00:00"/>
    <s v="P0025"/>
    <n v="8"/>
    <x v="0"/>
    <x v="1"/>
    <n v="0"/>
    <x v="0"/>
    <x v="0"/>
    <x v="0"/>
    <n v="7"/>
    <n v="7.83"/>
    <n v="56"/>
    <n v="62.64"/>
    <x v="24"/>
    <x v="9"/>
    <x v="0"/>
  </r>
  <r>
    <d v="2025-10-06T00:00:00"/>
    <s v="P0025"/>
    <n v="15"/>
    <x v="0"/>
    <x v="0"/>
    <n v="0"/>
    <x v="0"/>
    <x v="0"/>
    <x v="0"/>
    <n v="7"/>
    <n v="7.76"/>
    <n v="105"/>
    <n v="116.39999999999999"/>
    <x v="24"/>
    <x v="9"/>
    <x v="0"/>
  </r>
  <r>
    <d v="2025-10-06T00:00:00"/>
    <s v="P0037"/>
    <n v="11"/>
    <x v="2"/>
    <x v="0"/>
    <n v="0.02"/>
    <x v="24"/>
    <x v="3"/>
    <x v="2"/>
    <n v="67"/>
    <n v="74.760000000000005"/>
    <n v="737"/>
    <n v="822.36"/>
    <x v="24"/>
    <x v="9"/>
    <x v="0"/>
  </r>
  <r>
    <d v="2025-10-07T00:00:00"/>
    <s v="P0023"/>
    <n v="11"/>
    <x v="1"/>
    <x v="0"/>
    <n v="0"/>
    <x v="7"/>
    <x v="0"/>
    <x v="3"/>
    <n v="141"/>
    <n v="154.99"/>
    <n v="1551"/>
    <n v="1704.89"/>
    <x v="3"/>
    <x v="9"/>
    <x v="0"/>
  </r>
  <r>
    <d v="2025-10-07T00:00:00"/>
    <s v="P0012"/>
    <n v="11"/>
    <x v="1"/>
    <x v="1"/>
    <n v="0"/>
    <x v="14"/>
    <x v="2"/>
    <x v="1"/>
    <n v="58"/>
    <n v="65.319999999999993"/>
    <n v="638"/>
    <n v="718.52"/>
    <x v="3"/>
    <x v="9"/>
    <x v="0"/>
  </r>
  <r>
    <d v="2025-10-07T00:00:00"/>
    <s v="P0016"/>
    <n v="3"/>
    <x v="2"/>
    <x v="0"/>
    <n v="0.05"/>
    <x v="19"/>
    <x v="0"/>
    <x v="3"/>
    <n v="95"/>
    <n v="103.21"/>
    <n v="285"/>
    <n v="309.63"/>
    <x v="3"/>
    <x v="9"/>
    <x v="0"/>
  </r>
  <r>
    <d v="2025-10-08T00:00:00"/>
    <s v="P0001"/>
    <n v="5"/>
    <x v="2"/>
    <x v="0"/>
    <n v="0"/>
    <x v="17"/>
    <x v="4"/>
    <x v="2"/>
    <n v="98"/>
    <n v="111.79"/>
    <n v="490"/>
    <n v="558.95000000000005"/>
    <x v="4"/>
    <x v="9"/>
    <x v="0"/>
  </r>
  <r>
    <d v="2025-10-08T00:00:00"/>
    <s v="P0039"/>
    <n v="9"/>
    <x v="2"/>
    <x v="0"/>
    <n v="0"/>
    <x v="27"/>
    <x v="3"/>
    <x v="1"/>
    <n v="41"/>
    <n v="44.78"/>
    <n v="369"/>
    <n v="403.02"/>
    <x v="4"/>
    <x v="9"/>
    <x v="0"/>
  </r>
  <r>
    <d v="2025-10-09T00:00:00"/>
    <s v="P0035"/>
    <n v="5"/>
    <x v="0"/>
    <x v="1"/>
    <n v="0"/>
    <x v="6"/>
    <x v="1"/>
    <x v="0"/>
    <n v="5"/>
    <n v="5.72"/>
    <n v="25"/>
    <n v="28.599999999999998"/>
    <x v="5"/>
    <x v="9"/>
    <x v="0"/>
  </r>
  <r>
    <d v="2025-10-09T00:00:00"/>
    <s v="P0016"/>
    <n v="2"/>
    <x v="1"/>
    <x v="1"/>
    <n v="0"/>
    <x v="19"/>
    <x v="0"/>
    <x v="3"/>
    <n v="95"/>
    <n v="103.19"/>
    <n v="190"/>
    <n v="206.38"/>
    <x v="5"/>
    <x v="9"/>
    <x v="0"/>
  </r>
  <r>
    <d v="2025-10-10T00:00:00"/>
    <s v="P0041"/>
    <n v="10"/>
    <x v="2"/>
    <x v="1"/>
    <n v="0"/>
    <x v="8"/>
    <x v="3"/>
    <x v="3"/>
    <n v="98"/>
    <n v="114.76"/>
    <n v="980"/>
    <n v="1147.6000000000001"/>
    <x v="6"/>
    <x v="9"/>
    <x v="0"/>
  </r>
  <r>
    <d v="2025-10-11T00:00:00"/>
    <s v="P0034"/>
    <n v="6"/>
    <x v="2"/>
    <x v="0"/>
    <n v="0"/>
    <x v="36"/>
    <x v="1"/>
    <x v="1"/>
    <n v="55"/>
    <n v="61.9"/>
    <n v="330"/>
    <n v="371.4"/>
    <x v="25"/>
    <x v="9"/>
    <x v="0"/>
  </r>
  <r>
    <d v="2025-10-11T00:00:00"/>
    <s v="P0003"/>
    <n v="8"/>
    <x v="0"/>
    <x v="1"/>
    <n v="0.1"/>
    <x v="15"/>
    <x v="4"/>
    <x v="2"/>
    <n v="71"/>
    <n v="72.22"/>
    <n v="568"/>
    <n v="577.76"/>
    <x v="25"/>
    <x v="9"/>
    <x v="0"/>
  </r>
  <r>
    <d v="2025-10-11T00:00:00"/>
    <s v="P0006"/>
    <n v="10"/>
    <x v="1"/>
    <x v="0"/>
    <n v="0"/>
    <x v="9"/>
    <x v="4"/>
    <x v="2"/>
    <n v="75"/>
    <n v="81.09"/>
    <n v="750"/>
    <n v="810.90000000000009"/>
    <x v="25"/>
    <x v="9"/>
    <x v="0"/>
  </r>
  <r>
    <d v="2025-10-15T00:00:00"/>
    <s v="P0035"/>
    <n v="5"/>
    <x v="1"/>
    <x v="0"/>
    <n v="0"/>
    <x v="6"/>
    <x v="1"/>
    <x v="0"/>
    <n v="5"/>
    <n v="5.6"/>
    <n v="25"/>
    <n v="28"/>
    <x v="8"/>
    <x v="9"/>
    <x v="0"/>
  </r>
  <r>
    <d v="2025-10-15T00:00:00"/>
    <s v="P0008"/>
    <n v="5"/>
    <x v="1"/>
    <x v="0"/>
    <n v="0"/>
    <x v="20"/>
    <x v="2"/>
    <x v="2"/>
    <n v="60"/>
    <n v="68.47"/>
    <n v="300"/>
    <n v="342.35"/>
    <x v="8"/>
    <x v="9"/>
    <x v="0"/>
  </r>
  <r>
    <d v="2025-10-16T00:00:00"/>
    <s v="P0020"/>
    <n v="8"/>
    <x v="0"/>
    <x v="0"/>
    <n v="0.02"/>
    <x v="21"/>
    <x v="0"/>
    <x v="1"/>
    <n v="61"/>
    <n v="70.42"/>
    <n v="488"/>
    <n v="563.36"/>
    <x v="9"/>
    <x v="9"/>
    <x v="0"/>
  </r>
  <r>
    <d v="2025-10-16T00:00:00"/>
    <s v="P0013"/>
    <n v="14"/>
    <x v="0"/>
    <x v="0"/>
    <n v="0"/>
    <x v="43"/>
    <x v="2"/>
    <x v="2"/>
    <n v="112"/>
    <n v="121.39"/>
    <n v="1568"/>
    <n v="1699.46"/>
    <x v="9"/>
    <x v="9"/>
    <x v="0"/>
  </r>
  <r>
    <d v="2025-10-17T00:00:00"/>
    <s v="P0016"/>
    <n v="12"/>
    <x v="2"/>
    <x v="1"/>
    <n v="0"/>
    <x v="19"/>
    <x v="0"/>
    <x v="3"/>
    <n v="95"/>
    <n v="110.75"/>
    <n v="1140"/>
    <n v="1329"/>
    <x v="10"/>
    <x v="9"/>
    <x v="0"/>
  </r>
  <r>
    <d v="2025-10-17T00:00:00"/>
    <s v="P0033"/>
    <n v="6"/>
    <x v="2"/>
    <x v="1"/>
    <n v="0.02"/>
    <x v="44"/>
    <x v="1"/>
    <x v="0"/>
    <n v="9"/>
    <n v="9.5500000000000007"/>
    <n v="54"/>
    <n v="57.300000000000004"/>
    <x v="10"/>
    <x v="9"/>
    <x v="0"/>
  </r>
  <r>
    <d v="2025-10-18T00:00:00"/>
    <s v="P0031"/>
    <n v="5"/>
    <x v="2"/>
    <x v="1"/>
    <n v="0"/>
    <x v="28"/>
    <x v="1"/>
    <x v="2"/>
    <n v="93"/>
    <n v="103.05"/>
    <n v="465"/>
    <n v="515.25"/>
    <x v="11"/>
    <x v="9"/>
    <x v="0"/>
  </r>
  <r>
    <d v="2025-10-18T00:00:00"/>
    <s v="P0003"/>
    <n v="3"/>
    <x v="1"/>
    <x v="1"/>
    <n v="0"/>
    <x v="15"/>
    <x v="4"/>
    <x v="2"/>
    <n v="71"/>
    <n v="77.42"/>
    <n v="213"/>
    <n v="232.26"/>
    <x v="11"/>
    <x v="9"/>
    <x v="0"/>
  </r>
  <r>
    <d v="2025-10-19T00:00:00"/>
    <s v="P0016"/>
    <n v="10"/>
    <x v="1"/>
    <x v="1"/>
    <n v="0"/>
    <x v="19"/>
    <x v="0"/>
    <x v="3"/>
    <n v="95"/>
    <n v="108.14"/>
    <n v="950"/>
    <n v="1081.4000000000001"/>
    <x v="12"/>
    <x v="9"/>
    <x v="0"/>
  </r>
  <r>
    <d v="2025-10-21T00:00:00"/>
    <s v="P0001"/>
    <n v="5"/>
    <x v="1"/>
    <x v="1"/>
    <n v="0.02"/>
    <x v="17"/>
    <x v="4"/>
    <x v="2"/>
    <n v="98"/>
    <n v="108.19"/>
    <n v="490"/>
    <n v="540.95000000000005"/>
    <x v="14"/>
    <x v="9"/>
    <x v="0"/>
  </r>
  <r>
    <d v="2025-10-21T00:00:00"/>
    <s v="P0028"/>
    <n v="14"/>
    <x v="1"/>
    <x v="0"/>
    <n v="0.05"/>
    <x v="31"/>
    <x v="1"/>
    <x v="1"/>
    <n v="53"/>
    <n v="55.25"/>
    <n v="742"/>
    <n v="773.5"/>
    <x v="14"/>
    <x v="9"/>
    <x v="0"/>
  </r>
  <r>
    <d v="2025-10-22T00:00:00"/>
    <s v="P0025"/>
    <n v="6"/>
    <x v="0"/>
    <x v="1"/>
    <n v="0.08"/>
    <x v="0"/>
    <x v="0"/>
    <x v="0"/>
    <n v="7"/>
    <n v="7.47"/>
    <n v="42"/>
    <n v="44.82"/>
    <x v="28"/>
    <x v="9"/>
    <x v="0"/>
  </r>
  <r>
    <d v="2025-10-23T00:00:00"/>
    <s v="P0009"/>
    <n v="10"/>
    <x v="0"/>
    <x v="0"/>
    <n v="0"/>
    <x v="41"/>
    <x v="2"/>
    <x v="1"/>
    <n v="39"/>
    <n v="42.3"/>
    <n v="390"/>
    <n v="423"/>
    <x v="15"/>
    <x v="9"/>
    <x v="0"/>
  </r>
  <r>
    <d v="2025-10-24T00:00:00"/>
    <s v="P0037"/>
    <n v="4"/>
    <x v="1"/>
    <x v="0"/>
    <n v="0"/>
    <x v="24"/>
    <x v="3"/>
    <x v="2"/>
    <n v="67"/>
    <n v="76.569999999999993"/>
    <n v="268"/>
    <n v="306.27999999999997"/>
    <x v="16"/>
    <x v="9"/>
    <x v="0"/>
  </r>
  <r>
    <d v="2025-10-24T00:00:00"/>
    <s v="P0005"/>
    <n v="1"/>
    <x v="2"/>
    <x v="1"/>
    <n v="0"/>
    <x v="23"/>
    <x v="4"/>
    <x v="1"/>
    <n v="52"/>
    <n v="56.47"/>
    <n v="52"/>
    <n v="56.47"/>
    <x v="16"/>
    <x v="9"/>
    <x v="0"/>
  </r>
  <r>
    <d v="2025-10-25T00:00:00"/>
    <s v="P0045"/>
    <n v="10"/>
    <x v="2"/>
    <x v="0"/>
    <n v="0"/>
    <x v="5"/>
    <x v="3"/>
    <x v="1"/>
    <n v="63"/>
    <n v="72.91"/>
    <n v="630"/>
    <n v="729.09999999999991"/>
    <x v="29"/>
    <x v="9"/>
    <x v="0"/>
  </r>
  <r>
    <d v="2025-10-26T00:00:00"/>
    <s v="P0020"/>
    <n v="13"/>
    <x v="0"/>
    <x v="1"/>
    <n v="0"/>
    <x v="21"/>
    <x v="0"/>
    <x v="1"/>
    <n v="61"/>
    <n v="69.88"/>
    <n v="793"/>
    <n v="908.43999999999994"/>
    <x v="30"/>
    <x v="9"/>
    <x v="0"/>
  </r>
  <r>
    <d v="2025-10-27T00:00:00"/>
    <s v="P0031"/>
    <n v="9"/>
    <x v="0"/>
    <x v="1"/>
    <n v="0.02"/>
    <x v="28"/>
    <x v="1"/>
    <x v="2"/>
    <n v="93"/>
    <n v="106.19"/>
    <n v="837"/>
    <n v="955.71"/>
    <x v="17"/>
    <x v="9"/>
    <x v="0"/>
  </r>
  <r>
    <d v="2025-10-27T00:00:00"/>
    <s v="P0007"/>
    <n v="3"/>
    <x v="2"/>
    <x v="0"/>
    <n v="0"/>
    <x v="38"/>
    <x v="2"/>
    <x v="2"/>
    <n v="88"/>
    <n v="98.62"/>
    <n v="264"/>
    <n v="295.86"/>
    <x v="17"/>
    <x v="9"/>
    <x v="0"/>
  </r>
  <r>
    <d v="2025-10-28T00:00:00"/>
    <s v="P0036"/>
    <n v="9"/>
    <x v="2"/>
    <x v="1"/>
    <n v="0"/>
    <x v="13"/>
    <x v="3"/>
    <x v="2"/>
    <n v="102"/>
    <n v="119.07"/>
    <n v="918"/>
    <n v="1071.6299999999999"/>
    <x v="18"/>
    <x v="9"/>
    <x v="0"/>
  </r>
  <r>
    <d v="2025-10-28T00:00:00"/>
    <s v="P0017"/>
    <n v="15"/>
    <x v="0"/>
    <x v="1"/>
    <n v="0"/>
    <x v="4"/>
    <x v="0"/>
    <x v="0"/>
    <n v="12"/>
    <n v="13.74"/>
    <n v="180"/>
    <n v="206.1"/>
    <x v="18"/>
    <x v="9"/>
    <x v="0"/>
  </r>
  <r>
    <d v="2025-10-29T00:00:00"/>
    <s v="P0026"/>
    <n v="9"/>
    <x v="2"/>
    <x v="0"/>
    <n v="0"/>
    <x v="35"/>
    <x v="1"/>
    <x v="2"/>
    <n v="56"/>
    <n v="61.72"/>
    <n v="504"/>
    <n v="555.48"/>
    <x v="19"/>
    <x v="9"/>
    <x v="0"/>
  </r>
  <r>
    <d v="2025-10-29T00:00:00"/>
    <s v="P0045"/>
    <n v="9"/>
    <x v="2"/>
    <x v="1"/>
    <n v="0"/>
    <x v="5"/>
    <x v="3"/>
    <x v="1"/>
    <n v="63"/>
    <n v="69.900000000000006"/>
    <n v="567"/>
    <n v="629.1"/>
    <x v="19"/>
    <x v="9"/>
    <x v="0"/>
  </r>
  <r>
    <d v="2025-10-31T00:00:00"/>
    <s v="P0018"/>
    <n v="6"/>
    <x v="0"/>
    <x v="1"/>
    <n v="0.1"/>
    <x v="11"/>
    <x v="0"/>
    <x v="0"/>
    <n v="8"/>
    <n v="7.96"/>
    <n v="48"/>
    <n v="47.76"/>
    <x v="21"/>
    <x v="9"/>
    <x v="0"/>
  </r>
  <r>
    <d v="2025-10-31T00:00:00"/>
    <s v="P0007"/>
    <n v="8"/>
    <x v="1"/>
    <x v="1"/>
    <n v="0"/>
    <x v="38"/>
    <x v="2"/>
    <x v="2"/>
    <n v="88"/>
    <n v="103.04"/>
    <n v="704"/>
    <n v="824.32"/>
    <x v="21"/>
    <x v="9"/>
    <x v="0"/>
  </r>
  <r>
    <d v="2025-10-31T00:00:00"/>
    <s v="P0015"/>
    <n v="9"/>
    <x v="1"/>
    <x v="1"/>
    <n v="0.05"/>
    <x v="22"/>
    <x v="0"/>
    <x v="3"/>
    <n v="130"/>
    <n v="143.47"/>
    <n v="1170"/>
    <n v="1291.23"/>
    <x v="21"/>
    <x v="9"/>
    <x v="0"/>
  </r>
  <r>
    <d v="2025-11-01T00:00:00"/>
    <s v="P0003"/>
    <n v="8"/>
    <x v="1"/>
    <x v="1"/>
    <n v="0"/>
    <x v="15"/>
    <x v="4"/>
    <x v="2"/>
    <n v="71"/>
    <n v="76.989999999999995"/>
    <n v="568"/>
    <n v="615.91999999999996"/>
    <x v="22"/>
    <x v="10"/>
    <x v="0"/>
  </r>
  <r>
    <d v="2025-11-01T00:00:00"/>
    <s v="P0041"/>
    <n v="15"/>
    <x v="2"/>
    <x v="1"/>
    <n v="0"/>
    <x v="8"/>
    <x v="3"/>
    <x v="3"/>
    <n v="98"/>
    <n v="109.32"/>
    <n v="1470"/>
    <n v="1639.8"/>
    <x v="22"/>
    <x v="10"/>
    <x v="0"/>
  </r>
  <r>
    <d v="2025-11-02T00:00:00"/>
    <s v="P0028"/>
    <n v="6"/>
    <x v="1"/>
    <x v="0"/>
    <n v="0"/>
    <x v="31"/>
    <x v="1"/>
    <x v="1"/>
    <n v="53"/>
    <n v="62.46"/>
    <n v="318"/>
    <n v="374.76"/>
    <x v="0"/>
    <x v="10"/>
    <x v="0"/>
  </r>
  <r>
    <d v="2025-11-03T00:00:00"/>
    <s v="P0033"/>
    <n v="12"/>
    <x v="0"/>
    <x v="1"/>
    <n v="0.1"/>
    <x v="44"/>
    <x v="1"/>
    <x v="0"/>
    <n v="9"/>
    <n v="9.0299999999999994"/>
    <n v="108"/>
    <n v="108.35999999999999"/>
    <x v="1"/>
    <x v="10"/>
    <x v="0"/>
  </r>
  <r>
    <d v="2025-11-04T00:00:00"/>
    <s v="P0039"/>
    <n v="12"/>
    <x v="1"/>
    <x v="1"/>
    <n v="0"/>
    <x v="27"/>
    <x v="3"/>
    <x v="1"/>
    <n v="41"/>
    <n v="46.98"/>
    <n v="492"/>
    <n v="563.76"/>
    <x v="2"/>
    <x v="10"/>
    <x v="0"/>
  </r>
  <r>
    <d v="2025-11-05T00:00:00"/>
    <s v="P0002"/>
    <n v="9"/>
    <x v="2"/>
    <x v="0"/>
    <n v="0"/>
    <x v="42"/>
    <x v="4"/>
    <x v="2"/>
    <n v="65"/>
    <n v="74.03"/>
    <n v="585"/>
    <n v="666.27"/>
    <x v="23"/>
    <x v="10"/>
    <x v="0"/>
  </r>
  <r>
    <d v="2025-11-06T00:00:00"/>
    <s v="P0017"/>
    <n v="1"/>
    <x v="2"/>
    <x v="1"/>
    <n v="0"/>
    <x v="4"/>
    <x v="0"/>
    <x v="0"/>
    <n v="12"/>
    <n v="13.77"/>
    <n v="12"/>
    <n v="13.77"/>
    <x v="24"/>
    <x v="10"/>
    <x v="0"/>
  </r>
  <r>
    <d v="2025-11-07T00:00:00"/>
    <s v="P0024"/>
    <n v="7"/>
    <x v="1"/>
    <x v="0"/>
    <n v="0"/>
    <x v="39"/>
    <x v="0"/>
    <x v="3"/>
    <n v="144"/>
    <n v="167.07"/>
    <n v="1008"/>
    <n v="1169.49"/>
    <x v="3"/>
    <x v="10"/>
    <x v="0"/>
  </r>
  <r>
    <d v="2025-11-09T00:00:00"/>
    <s v="P0041"/>
    <n v="7"/>
    <x v="2"/>
    <x v="1"/>
    <n v="0"/>
    <x v="8"/>
    <x v="3"/>
    <x v="3"/>
    <n v="98"/>
    <n v="113.81"/>
    <n v="686"/>
    <n v="796.67000000000007"/>
    <x v="5"/>
    <x v="10"/>
    <x v="0"/>
  </r>
  <r>
    <d v="2025-11-10T00:00:00"/>
    <s v="P0033"/>
    <n v="7"/>
    <x v="0"/>
    <x v="0"/>
    <n v="0"/>
    <x v="44"/>
    <x v="1"/>
    <x v="0"/>
    <n v="9"/>
    <n v="10.15"/>
    <n v="63"/>
    <n v="71.05"/>
    <x v="6"/>
    <x v="10"/>
    <x v="0"/>
  </r>
  <r>
    <d v="2025-11-11T00:00:00"/>
    <s v="P0023"/>
    <n v="4"/>
    <x v="1"/>
    <x v="1"/>
    <n v="0"/>
    <x v="7"/>
    <x v="0"/>
    <x v="3"/>
    <n v="141"/>
    <n v="162.63"/>
    <n v="564"/>
    <n v="650.52"/>
    <x v="25"/>
    <x v="10"/>
    <x v="0"/>
  </r>
  <r>
    <d v="2025-11-12T00:00:00"/>
    <s v="P0027"/>
    <n v="4"/>
    <x v="0"/>
    <x v="1"/>
    <n v="0"/>
    <x v="1"/>
    <x v="1"/>
    <x v="1"/>
    <n v="48"/>
    <n v="55.3"/>
    <n v="192"/>
    <n v="221.2"/>
    <x v="26"/>
    <x v="10"/>
    <x v="0"/>
  </r>
  <r>
    <d v="2025-11-13T00:00:00"/>
    <s v="P0024"/>
    <n v="10"/>
    <x v="2"/>
    <x v="1"/>
    <n v="0.02"/>
    <x v="39"/>
    <x v="0"/>
    <x v="3"/>
    <n v="144"/>
    <n v="163.32"/>
    <n v="1440"/>
    <n v="1633.1999999999998"/>
    <x v="27"/>
    <x v="10"/>
    <x v="0"/>
  </r>
  <r>
    <d v="2025-11-13T00:00:00"/>
    <s v="P0004"/>
    <n v="11"/>
    <x v="2"/>
    <x v="0"/>
    <n v="0"/>
    <x v="37"/>
    <x v="4"/>
    <x v="1"/>
    <n v="44"/>
    <n v="49.66"/>
    <n v="484"/>
    <n v="546.26"/>
    <x v="27"/>
    <x v="10"/>
    <x v="0"/>
  </r>
  <r>
    <d v="2025-11-14T00:00:00"/>
    <s v="P0025"/>
    <n v="3"/>
    <x v="0"/>
    <x v="1"/>
    <n v="0.02"/>
    <x v="0"/>
    <x v="0"/>
    <x v="0"/>
    <n v="7"/>
    <n v="7.54"/>
    <n v="21"/>
    <n v="22.62"/>
    <x v="7"/>
    <x v="10"/>
    <x v="0"/>
  </r>
  <r>
    <d v="2025-11-15T00:00:00"/>
    <s v="P0040"/>
    <n v="11"/>
    <x v="1"/>
    <x v="1"/>
    <n v="0"/>
    <x v="40"/>
    <x v="3"/>
    <x v="2"/>
    <n v="90"/>
    <n v="103.12"/>
    <n v="990"/>
    <n v="1134.3200000000002"/>
    <x v="8"/>
    <x v="10"/>
    <x v="0"/>
  </r>
  <r>
    <d v="2025-11-17T00:00:00"/>
    <s v="P0038"/>
    <n v="11"/>
    <x v="0"/>
    <x v="1"/>
    <n v="0"/>
    <x v="34"/>
    <x v="3"/>
    <x v="2"/>
    <n v="72"/>
    <n v="82.42"/>
    <n v="792"/>
    <n v="906.62"/>
    <x v="10"/>
    <x v="10"/>
    <x v="0"/>
  </r>
  <r>
    <d v="2025-11-17T00:00:00"/>
    <s v="P0032"/>
    <n v="10"/>
    <x v="1"/>
    <x v="0"/>
    <n v="0"/>
    <x v="33"/>
    <x v="1"/>
    <x v="2"/>
    <n v="89"/>
    <n v="98.83"/>
    <n v="890"/>
    <n v="988.3"/>
    <x v="10"/>
    <x v="10"/>
    <x v="0"/>
  </r>
  <r>
    <d v="2025-11-17T00:00:00"/>
    <s v="P0030"/>
    <n v="1"/>
    <x v="2"/>
    <x v="1"/>
    <n v="0"/>
    <x v="16"/>
    <x v="1"/>
    <x v="2"/>
    <n v="79"/>
    <n v="85.33"/>
    <n v="79"/>
    <n v="85.33"/>
    <x v="10"/>
    <x v="10"/>
    <x v="0"/>
  </r>
  <r>
    <d v="2025-11-18T00:00:00"/>
    <s v="P0005"/>
    <n v="8"/>
    <x v="1"/>
    <x v="0"/>
    <n v="0.02"/>
    <x v="23"/>
    <x v="4"/>
    <x v="1"/>
    <n v="52"/>
    <n v="56.91"/>
    <n v="416"/>
    <n v="455.28"/>
    <x v="11"/>
    <x v="10"/>
    <x v="0"/>
  </r>
  <r>
    <d v="2025-11-21T00:00:00"/>
    <s v="P0018"/>
    <n v="13"/>
    <x v="0"/>
    <x v="0"/>
    <n v="0.1"/>
    <x v="11"/>
    <x v="0"/>
    <x v="0"/>
    <n v="8"/>
    <n v="8.09"/>
    <n v="104"/>
    <n v="105.17"/>
    <x v="14"/>
    <x v="10"/>
    <x v="0"/>
  </r>
  <r>
    <d v="2025-11-22T00:00:00"/>
    <s v="P0025"/>
    <n v="6"/>
    <x v="2"/>
    <x v="1"/>
    <n v="0"/>
    <x v="0"/>
    <x v="0"/>
    <x v="0"/>
    <n v="7"/>
    <n v="7.61"/>
    <n v="42"/>
    <n v="45.660000000000004"/>
    <x v="28"/>
    <x v="10"/>
    <x v="0"/>
  </r>
  <r>
    <d v="2025-11-22T00:00:00"/>
    <s v="P0006"/>
    <n v="14"/>
    <x v="1"/>
    <x v="0"/>
    <n v="0"/>
    <x v="9"/>
    <x v="4"/>
    <x v="2"/>
    <n v="75"/>
    <n v="82.99"/>
    <n v="1050"/>
    <n v="1161.8599999999999"/>
    <x v="28"/>
    <x v="10"/>
    <x v="0"/>
  </r>
  <r>
    <d v="2025-11-23T00:00:00"/>
    <s v="P0019"/>
    <n v="2"/>
    <x v="1"/>
    <x v="1"/>
    <n v="0"/>
    <x v="12"/>
    <x v="0"/>
    <x v="2"/>
    <n v="67"/>
    <n v="75.02"/>
    <n v="134"/>
    <n v="150.04"/>
    <x v="15"/>
    <x v="10"/>
    <x v="0"/>
  </r>
  <r>
    <d v="2025-11-24T00:00:00"/>
    <s v="P0008"/>
    <n v="1"/>
    <x v="1"/>
    <x v="1"/>
    <n v="0"/>
    <x v="20"/>
    <x v="2"/>
    <x v="2"/>
    <n v="60"/>
    <n v="69.22"/>
    <n v="60"/>
    <n v="69.22"/>
    <x v="16"/>
    <x v="10"/>
    <x v="0"/>
  </r>
  <r>
    <d v="2025-11-24T00:00:00"/>
    <s v="P0045"/>
    <n v="9"/>
    <x v="2"/>
    <x v="0"/>
    <n v="0"/>
    <x v="5"/>
    <x v="3"/>
    <x v="1"/>
    <n v="63"/>
    <n v="72.930000000000007"/>
    <n v="567"/>
    <n v="656.37000000000012"/>
    <x v="16"/>
    <x v="10"/>
    <x v="0"/>
  </r>
  <r>
    <d v="2025-11-24T00:00:00"/>
    <s v="P0033"/>
    <n v="10"/>
    <x v="2"/>
    <x v="0"/>
    <n v="0"/>
    <x v="44"/>
    <x v="1"/>
    <x v="0"/>
    <n v="9"/>
    <n v="10.210000000000001"/>
    <n v="90"/>
    <n v="102.10000000000001"/>
    <x v="16"/>
    <x v="10"/>
    <x v="0"/>
  </r>
  <r>
    <d v="2025-11-24T00:00:00"/>
    <s v="P0002"/>
    <n v="8"/>
    <x v="0"/>
    <x v="0"/>
    <n v="0"/>
    <x v="42"/>
    <x v="4"/>
    <x v="2"/>
    <n v="65"/>
    <n v="71.790000000000006"/>
    <n v="520"/>
    <n v="574.32000000000005"/>
    <x v="16"/>
    <x v="10"/>
    <x v="0"/>
  </r>
  <r>
    <d v="2025-11-27T00:00:00"/>
    <s v="P0003"/>
    <n v="5"/>
    <x v="1"/>
    <x v="1"/>
    <n v="0"/>
    <x v="15"/>
    <x v="4"/>
    <x v="2"/>
    <n v="71"/>
    <n v="81.88"/>
    <n v="355"/>
    <n v="409.4"/>
    <x v="17"/>
    <x v="10"/>
    <x v="0"/>
  </r>
  <r>
    <d v="2025-11-27T00:00:00"/>
    <s v="P0010"/>
    <n v="4"/>
    <x v="2"/>
    <x v="0"/>
    <n v="0"/>
    <x v="26"/>
    <x v="2"/>
    <x v="2"/>
    <n v="105"/>
    <n v="119.73"/>
    <n v="420"/>
    <n v="478.92"/>
    <x v="17"/>
    <x v="10"/>
    <x v="0"/>
  </r>
  <r>
    <d v="2025-11-27T00:00:00"/>
    <s v="P0024"/>
    <n v="6"/>
    <x v="2"/>
    <x v="1"/>
    <n v="0"/>
    <x v="39"/>
    <x v="0"/>
    <x v="3"/>
    <n v="144"/>
    <n v="165.3"/>
    <n v="864"/>
    <n v="991.80000000000007"/>
    <x v="17"/>
    <x v="10"/>
    <x v="0"/>
  </r>
  <r>
    <d v="2025-11-27T00:00:00"/>
    <s v="P0027"/>
    <n v="6"/>
    <x v="0"/>
    <x v="0"/>
    <n v="0"/>
    <x v="1"/>
    <x v="1"/>
    <x v="1"/>
    <n v="48"/>
    <n v="53.65"/>
    <n v="288"/>
    <n v="321.89999999999998"/>
    <x v="17"/>
    <x v="10"/>
    <x v="0"/>
  </r>
  <r>
    <d v="2025-11-28T00:00:00"/>
    <s v="P0013"/>
    <n v="5"/>
    <x v="2"/>
    <x v="1"/>
    <n v="0"/>
    <x v="43"/>
    <x v="2"/>
    <x v="2"/>
    <n v="112"/>
    <n v="124.68"/>
    <n v="560"/>
    <n v="623.40000000000009"/>
    <x v="18"/>
    <x v="10"/>
    <x v="0"/>
  </r>
  <r>
    <d v="2025-11-28T00:00:00"/>
    <s v="P0006"/>
    <n v="15"/>
    <x v="2"/>
    <x v="0"/>
    <n v="0.02"/>
    <x v="9"/>
    <x v="4"/>
    <x v="2"/>
    <n v="75"/>
    <n v="79.760000000000005"/>
    <n v="1125"/>
    <n v="1196.4000000000001"/>
    <x v="18"/>
    <x v="10"/>
    <x v="0"/>
  </r>
  <r>
    <d v="2025-11-28T00:00:00"/>
    <s v="P0040"/>
    <n v="1"/>
    <x v="1"/>
    <x v="0"/>
    <n v="0"/>
    <x v="40"/>
    <x v="3"/>
    <x v="2"/>
    <n v="90"/>
    <n v="100.18"/>
    <n v="90"/>
    <n v="100.18"/>
    <x v="18"/>
    <x v="10"/>
    <x v="0"/>
  </r>
  <r>
    <d v="2025-11-29T00:00:00"/>
    <s v="P0006"/>
    <n v="14"/>
    <x v="2"/>
    <x v="0"/>
    <n v="0"/>
    <x v="9"/>
    <x v="4"/>
    <x v="2"/>
    <n v="75"/>
    <n v="85.7"/>
    <n v="1050"/>
    <n v="1199.8"/>
    <x v="19"/>
    <x v="10"/>
    <x v="0"/>
  </r>
  <r>
    <d v="2025-11-29T00:00:00"/>
    <s v="P0018"/>
    <n v="4"/>
    <x v="0"/>
    <x v="1"/>
    <n v="0"/>
    <x v="11"/>
    <x v="0"/>
    <x v="0"/>
    <n v="8"/>
    <n v="8.9499999999999993"/>
    <n v="32"/>
    <n v="35.799999999999997"/>
    <x v="19"/>
    <x v="10"/>
    <x v="0"/>
  </r>
  <r>
    <d v="2025-11-30T00:00:00"/>
    <s v="P0035"/>
    <n v="14"/>
    <x v="2"/>
    <x v="1"/>
    <n v="0"/>
    <x v="6"/>
    <x v="1"/>
    <x v="0"/>
    <n v="5"/>
    <n v="5.82"/>
    <n v="70"/>
    <n v="81.48"/>
    <x v="20"/>
    <x v="10"/>
    <x v="0"/>
  </r>
  <r>
    <d v="2025-11-30T00:00:00"/>
    <s v="P0010"/>
    <n v="8"/>
    <x v="0"/>
    <x v="1"/>
    <n v="0"/>
    <x v="26"/>
    <x v="2"/>
    <x v="2"/>
    <n v="105"/>
    <n v="122.53"/>
    <n v="840"/>
    <n v="980.24"/>
    <x v="20"/>
    <x v="10"/>
    <x v="0"/>
  </r>
  <r>
    <d v="2025-11-30T00:00:00"/>
    <s v="P0039"/>
    <n v="3"/>
    <x v="2"/>
    <x v="1"/>
    <n v="0"/>
    <x v="27"/>
    <x v="3"/>
    <x v="1"/>
    <n v="41"/>
    <n v="45.01"/>
    <n v="123"/>
    <n v="135.03"/>
    <x v="20"/>
    <x v="10"/>
    <x v="0"/>
  </r>
  <r>
    <d v="2025-12-01T00:00:00"/>
    <s v="P0034"/>
    <n v="1"/>
    <x v="1"/>
    <x v="0"/>
    <n v="0"/>
    <x v="36"/>
    <x v="1"/>
    <x v="1"/>
    <n v="55"/>
    <n v="59.97"/>
    <n v="55"/>
    <n v="59.97"/>
    <x v="22"/>
    <x v="11"/>
    <x v="0"/>
  </r>
  <r>
    <d v="2025-12-01T00:00:00"/>
    <s v="P0044"/>
    <n v="8"/>
    <x v="2"/>
    <x v="1"/>
    <n v="0"/>
    <x v="32"/>
    <x v="3"/>
    <x v="2"/>
    <n v="76"/>
    <n v="85.36"/>
    <n v="608"/>
    <n v="682.88"/>
    <x v="22"/>
    <x v="11"/>
    <x v="0"/>
  </r>
  <r>
    <d v="2025-12-02T00:00:00"/>
    <s v="P0042"/>
    <n v="15"/>
    <x v="1"/>
    <x v="1"/>
    <n v="0"/>
    <x v="30"/>
    <x v="3"/>
    <x v="3"/>
    <n v="120"/>
    <n v="140.26"/>
    <n v="1800"/>
    <n v="2103.8999999999996"/>
    <x v="0"/>
    <x v="11"/>
    <x v="0"/>
  </r>
  <r>
    <d v="2025-12-02T00:00:00"/>
    <s v="P0005"/>
    <n v="3"/>
    <x v="0"/>
    <x v="0"/>
    <n v="0"/>
    <x v="23"/>
    <x v="4"/>
    <x v="1"/>
    <n v="52"/>
    <n v="59.17"/>
    <n v="156"/>
    <n v="177.51"/>
    <x v="0"/>
    <x v="11"/>
    <x v="0"/>
  </r>
  <r>
    <d v="2025-12-03T00:00:00"/>
    <s v="P0039"/>
    <n v="14"/>
    <x v="2"/>
    <x v="1"/>
    <n v="0"/>
    <x v="27"/>
    <x v="3"/>
    <x v="1"/>
    <n v="41"/>
    <n v="44.86"/>
    <n v="574"/>
    <n v="628.04"/>
    <x v="1"/>
    <x v="11"/>
    <x v="0"/>
  </r>
  <r>
    <d v="2025-12-04T00:00:00"/>
    <s v="P0032"/>
    <n v="14"/>
    <x v="2"/>
    <x v="0"/>
    <n v="0"/>
    <x v="33"/>
    <x v="1"/>
    <x v="2"/>
    <n v="89"/>
    <n v="101.03"/>
    <n v="1246"/>
    <n v="1414.42"/>
    <x v="2"/>
    <x v="11"/>
    <x v="0"/>
  </r>
  <r>
    <d v="2025-12-04T00:00:00"/>
    <s v="P0034"/>
    <n v="5"/>
    <x v="1"/>
    <x v="1"/>
    <n v="0.05"/>
    <x v="36"/>
    <x v="1"/>
    <x v="1"/>
    <n v="55"/>
    <n v="60.86"/>
    <n v="275"/>
    <n v="304.3"/>
    <x v="2"/>
    <x v="11"/>
    <x v="0"/>
  </r>
  <r>
    <d v="2025-12-05T00:00:00"/>
    <s v="P0019"/>
    <n v="5"/>
    <x v="2"/>
    <x v="0"/>
    <n v="0"/>
    <x v="12"/>
    <x v="0"/>
    <x v="2"/>
    <n v="67"/>
    <n v="75.33"/>
    <n v="335"/>
    <n v="376.65"/>
    <x v="23"/>
    <x v="11"/>
    <x v="0"/>
  </r>
  <r>
    <d v="2025-12-05T00:00:00"/>
    <s v="P0034"/>
    <n v="4"/>
    <x v="2"/>
    <x v="0"/>
    <n v="0.02"/>
    <x v="36"/>
    <x v="1"/>
    <x v="1"/>
    <n v="55"/>
    <n v="61.58"/>
    <n v="220"/>
    <n v="246.32"/>
    <x v="23"/>
    <x v="11"/>
    <x v="0"/>
  </r>
  <r>
    <d v="2025-12-06T00:00:00"/>
    <s v="P0026"/>
    <n v="10"/>
    <x v="2"/>
    <x v="0"/>
    <n v="0"/>
    <x v="35"/>
    <x v="1"/>
    <x v="2"/>
    <n v="56"/>
    <n v="65.94"/>
    <n v="560"/>
    <n v="659.4"/>
    <x v="24"/>
    <x v="11"/>
    <x v="0"/>
  </r>
  <r>
    <d v="2025-12-07T00:00:00"/>
    <s v="P0025"/>
    <n v="11"/>
    <x v="1"/>
    <x v="1"/>
    <n v="0"/>
    <x v="0"/>
    <x v="0"/>
    <x v="0"/>
    <n v="7"/>
    <n v="7.77"/>
    <n v="77"/>
    <n v="85.47"/>
    <x v="3"/>
    <x v="11"/>
    <x v="0"/>
  </r>
  <r>
    <d v="2025-12-08T00:00:00"/>
    <s v="P0040"/>
    <n v="15"/>
    <x v="1"/>
    <x v="0"/>
    <n v="0.05"/>
    <x v="40"/>
    <x v="3"/>
    <x v="2"/>
    <n v="90"/>
    <n v="92.44"/>
    <n v="1350"/>
    <n v="1386.6"/>
    <x v="4"/>
    <x v="11"/>
    <x v="0"/>
  </r>
  <r>
    <d v="2025-12-10T00:00:00"/>
    <s v="P0042"/>
    <n v="6"/>
    <x v="2"/>
    <x v="0"/>
    <n v="0"/>
    <x v="30"/>
    <x v="3"/>
    <x v="3"/>
    <n v="120"/>
    <n v="132.30000000000001"/>
    <n v="720"/>
    <n v="793.80000000000007"/>
    <x v="6"/>
    <x v="11"/>
    <x v="0"/>
  </r>
  <r>
    <d v="2025-12-10T00:00:00"/>
    <s v="P0042"/>
    <n v="5"/>
    <x v="1"/>
    <x v="1"/>
    <n v="0.02"/>
    <x v="30"/>
    <x v="3"/>
    <x v="3"/>
    <n v="120"/>
    <n v="127.87"/>
    <n v="600"/>
    <n v="639.35"/>
    <x v="6"/>
    <x v="11"/>
    <x v="0"/>
  </r>
  <r>
    <d v="2025-12-10T00:00:00"/>
    <s v="P0036"/>
    <n v="4"/>
    <x v="1"/>
    <x v="0"/>
    <n v="0"/>
    <x v="13"/>
    <x v="3"/>
    <x v="2"/>
    <n v="102"/>
    <n v="119.43"/>
    <n v="408"/>
    <n v="477.72"/>
    <x v="6"/>
    <x v="11"/>
    <x v="0"/>
  </r>
  <r>
    <d v="2025-12-11T00:00:00"/>
    <s v="P0042"/>
    <n v="11"/>
    <x v="2"/>
    <x v="0"/>
    <n v="0"/>
    <x v="30"/>
    <x v="3"/>
    <x v="3"/>
    <n v="120"/>
    <n v="139.21"/>
    <n v="1320"/>
    <n v="1531.3100000000002"/>
    <x v="25"/>
    <x v="11"/>
    <x v="0"/>
  </r>
  <r>
    <d v="2025-12-11T00:00:00"/>
    <s v="P0020"/>
    <n v="12"/>
    <x v="2"/>
    <x v="0"/>
    <n v="0"/>
    <x v="21"/>
    <x v="0"/>
    <x v="1"/>
    <n v="61"/>
    <n v="70.430000000000007"/>
    <n v="732"/>
    <n v="845.16000000000008"/>
    <x v="25"/>
    <x v="11"/>
    <x v="0"/>
  </r>
  <r>
    <d v="2025-12-13T00:00:00"/>
    <s v="P0035"/>
    <n v="2"/>
    <x v="1"/>
    <x v="1"/>
    <n v="0.02"/>
    <x v="6"/>
    <x v="1"/>
    <x v="0"/>
    <n v="5"/>
    <n v="5.41"/>
    <n v="10"/>
    <n v="10.82"/>
    <x v="27"/>
    <x v="11"/>
    <x v="0"/>
  </r>
  <r>
    <d v="2025-12-13T00:00:00"/>
    <s v="P0044"/>
    <n v="7"/>
    <x v="0"/>
    <x v="0"/>
    <n v="0.1"/>
    <x v="32"/>
    <x v="3"/>
    <x v="2"/>
    <n v="76"/>
    <n v="73.97"/>
    <n v="532"/>
    <n v="517.79"/>
    <x v="27"/>
    <x v="11"/>
    <x v="0"/>
  </r>
  <r>
    <d v="2025-12-13T00:00:00"/>
    <s v="P0011"/>
    <n v="15"/>
    <x v="0"/>
    <x v="1"/>
    <n v="0"/>
    <x v="3"/>
    <x v="2"/>
    <x v="2"/>
    <n v="47"/>
    <n v="52.32"/>
    <n v="705"/>
    <n v="784.8"/>
    <x v="27"/>
    <x v="11"/>
    <x v="0"/>
  </r>
  <r>
    <d v="2025-12-14T00:00:00"/>
    <s v="P0044"/>
    <n v="10"/>
    <x v="1"/>
    <x v="0"/>
    <n v="0.05"/>
    <x v="32"/>
    <x v="3"/>
    <x v="2"/>
    <n v="76"/>
    <n v="85.08"/>
    <n v="760"/>
    <n v="850.8"/>
    <x v="7"/>
    <x v="11"/>
    <x v="0"/>
  </r>
  <r>
    <d v="2025-12-14T00:00:00"/>
    <s v="P0037"/>
    <n v="8"/>
    <x v="1"/>
    <x v="0"/>
    <n v="0"/>
    <x v="24"/>
    <x v="3"/>
    <x v="2"/>
    <n v="67"/>
    <n v="75.73"/>
    <n v="536"/>
    <n v="605.84"/>
    <x v="7"/>
    <x v="11"/>
    <x v="0"/>
  </r>
  <r>
    <d v="2025-12-15T00:00:00"/>
    <s v="P0037"/>
    <n v="11"/>
    <x v="1"/>
    <x v="0"/>
    <n v="0"/>
    <x v="24"/>
    <x v="3"/>
    <x v="2"/>
    <n v="67"/>
    <n v="76.56"/>
    <n v="737"/>
    <n v="842.16000000000008"/>
    <x v="8"/>
    <x v="11"/>
    <x v="0"/>
  </r>
  <r>
    <d v="2025-12-15T00:00:00"/>
    <s v="P0014"/>
    <n v="12"/>
    <x v="1"/>
    <x v="1"/>
    <n v="0"/>
    <x v="2"/>
    <x v="2"/>
    <x v="2"/>
    <n v="112"/>
    <n v="125.95"/>
    <n v="1344"/>
    <n v="1511.4"/>
    <x v="8"/>
    <x v="11"/>
    <x v="0"/>
  </r>
  <r>
    <d v="2025-12-15T00:00:00"/>
    <s v="P0038"/>
    <n v="11"/>
    <x v="2"/>
    <x v="0"/>
    <n v="0"/>
    <x v="34"/>
    <x v="3"/>
    <x v="2"/>
    <n v="72"/>
    <n v="82.89"/>
    <n v="792"/>
    <n v="911.79"/>
    <x v="8"/>
    <x v="11"/>
    <x v="0"/>
  </r>
  <r>
    <d v="2025-12-16T00:00:00"/>
    <s v="P0012"/>
    <n v="13"/>
    <x v="1"/>
    <x v="1"/>
    <n v="0.02"/>
    <x v="14"/>
    <x v="2"/>
    <x v="1"/>
    <n v="58"/>
    <n v="61.47"/>
    <n v="754"/>
    <n v="799.11"/>
    <x v="9"/>
    <x v="11"/>
    <x v="0"/>
  </r>
  <r>
    <d v="2025-12-17T00:00:00"/>
    <s v="P0039"/>
    <n v="13"/>
    <x v="2"/>
    <x v="1"/>
    <n v="0"/>
    <x v="27"/>
    <x v="3"/>
    <x v="1"/>
    <n v="41"/>
    <n v="46.04"/>
    <n v="533"/>
    <n v="598.52"/>
    <x v="10"/>
    <x v="11"/>
    <x v="0"/>
  </r>
  <r>
    <d v="2025-12-17T00:00:00"/>
    <s v="P0034"/>
    <n v="2"/>
    <x v="1"/>
    <x v="0"/>
    <n v="0"/>
    <x v="36"/>
    <x v="1"/>
    <x v="1"/>
    <n v="55"/>
    <n v="59.5"/>
    <n v="110"/>
    <n v="119"/>
    <x v="10"/>
    <x v="11"/>
    <x v="0"/>
  </r>
  <r>
    <d v="2025-12-17T00:00:00"/>
    <s v="P0026"/>
    <n v="5"/>
    <x v="1"/>
    <x v="1"/>
    <n v="0"/>
    <x v="35"/>
    <x v="1"/>
    <x v="2"/>
    <n v="56"/>
    <n v="62.81"/>
    <n v="280"/>
    <n v="314.05"/>
    <x v="10"/>
    <x v="11"/>
    <x v="0"/>
  </r>
  <r>
    <d v="2025-12-19T00:00:00"/>
    <s v="P0006"/>
    <n v="9"/>
    <x v="1"/>
    <x v="0"/>
    <n v="0.05"/>
    <x v="9"/>
    <x v="4"/>
    <x v="2"/>
    <n v="75"/>
    <n v="78.599999999999994"/>
    <n v="675"/>
    <n v="707.4"/>
    <x v="12"/>
    <x v="11"/>
    <x v="0"/>
  </r>
  <r>
    <d v="2025-12-20T00:00:00"/>
    <s v="P0010"/>
    <n v="9"/>
    <x v="2"/>
    <x v="0"/>
    <n v="0"/>
    <x v="26"/>
    <x v="2"/>
    <x v="2"/>
    <n v="105"/>
    <n v="114.95"/>
    <n v="945"/>
    <n v="1034.55"/>
    <x v="13"/>
    <x v="11"/>
    <x v="0"/>
  </r>
  <r>
    <d v="2025-12-20T00:00:00"/>
    <s v="P0012"/>
    <n v="4"/>
    <x v="2"/>
    <x v="0"/>
    <n v="0"/>
    <x v="14"/>
    <x v="2"/>
    <x v="1"/>
    <n v="58"/>
    <n v="66.06"/>
    <n v="232"/>
    <n v="264.24"/>
    <x v="13"/>
    <x v="11"/>
    <x v="0"/>
  </r>
  <r>
    <d v="2025-12-20T00:00:00"/>
    <s v="P0032"/>
    <n v="6"/>
    <x v="1"/>
    <x v="0"/>
    <n v="0"/>
    <x v="33"/>
    <x v="1"/>
    <x v="2"/>
    <n v="89"/>
    <n v="101.22"/>
    <n v="534"/>
    <n v="607.31999999999994"/>
    <x v="13"/>
    <x v="11"/>
    <x v="0"/>
  </r>
  <r>
    <d v="2025-12-21T00:00:00"/>
    <s v="P0027"/>
    <n v="9"/>
    <x v="2"/>
    <x v="0"/>
    <n v="0"/>
    <x v="1"/>
    <x v="1"/>
    <x v="1"/>
    <n v="48"/>
    <n v="55.74"/>
    <n v="432"/>
    <n v="501.66"/>
    <x v="14"/>
    <x v="11"/>
    <x v="0"/>
  </r>
  <r>
    <d v="2025-12-22T00:00:00"/>
    <s v="P0018"/>
    <n v="1"/>
    <x v="2"/>
    <x v="0"/>
    <n v="0"/>
    <x v="11"/>
    <x v="0"/>
    <x v="0"/>
    <n v="8"/>
    <n v="8.92"/>
    <n v="8"/>
    <n v="8.92"/>
    <x v="28"/>
    <x v="11"/>
    <x v="0"/>
  </r>
  <r>
    <d v="2025-12-22T00:00:00"/>
    <s v="P0032"/>
    <n v="4"/>
    <x v="2"/>
    <x v="1"/>
    <n v="0"/>
    <x v="33"/>
    <x v="1"/>
    <x v="2"/>
    <n v="89"/>
    <n v="104.12"/>
    <n v="356"/>
    <n v="416.48"/>
    <x v="28"/>
    <x v="11"/>
    <x v="0"/>
  </r>
  <r>
    <d v="2025-12-22T00:00:00"/>
    <s v="P0001"/>
    <n v="6"/>
    <x v="2"/>
    <x v="0"/>
    <n v="0"/>
    <x v="17"/>
    <x v="4"/>
    <x v="2"/>
    <n v="98"/>
    <n v="112.97"/>
    <n v="588"/>
    <n v="677.81999999999994"/>
    <x v="28"/>
    <x v="11"/>
    <x v="0"/>
  </r>
  <r>
    <d v="2025-12-23T00:00:00"/>
    <s v="P0034"/>
    <n v="8"/>
    <x v="2"/>
    <x v="1"/>
    <n v="0"/>
    <x v="36"/>
    <x v="1"/>
    <x v="1"/>
    <n v="55"/>
    <n v="60.07"/>
    <n v="440"/>
    <n v="480.56"/>
    <x v="15"/>
    <x v="11"/>
    <x v="0"/>
  </r>
  <r>
    <d v="2025-12-23T00:00:00"/>
    <s v="P0002"/>
    <n v="14"/>
    <x v="0"/>
    <x v="0"/>
    <n v="0"/>
    <x v="42"/>
    <x v="4"/>
    <x v="2"/>
    <n v="65"/>
    <n v="72.14"/>
    <n v="910"/>
    <n v="1009.96"/>
    <x v="15"/>
    <x v="11"/>
    <x v="0"/>
  </r>
  <r>
    <d v="2025-12-23T00:00:00"/>
    <s v="P0035"/>
    <n v="7"/>
    <x v="1"/>
    <x v="1"/>
    <n v="0"/>
    <x v="6"/>
    <x v="1"/>
    <x v="0"/>
    <n v="5"/>
    <n v="5.73"/>
    <n v="35"/>
    <n v="40.11"/>
    <x v="15"/>
    <x v="11"/>
    <x v="0"/>
  </r>
  <r>
    <d v="2025-12-24T00:00:00"/>
    <s v="P0023"/>
    <n v="15"/>
    <x v="1"/>
    <x v="0"/>
    <n v="0"/>
    <x v="7"/>
    <x v="0"/>
    <x v="3"/>
    <n v="141"/>
    <n v="160.22999999999999"/>
    <n v="2115"/>
    <n v="2403.4499999999998"/>
    <x v="16"/>
    <x v="11"/>
    <x v="0"/>
  </r>
  <r>
    <d v="2025-12-25T00:00:00"/>
    <s v="P0019"/>
    <n v="1"/>
    <x v="0"/>
    <x v="0"/>
    <n v="0.02"/>
    <x v="12"/>
    <x v="0"/>
    <x v="2"/>
    <n v="67"/>
    <n v="76.89"/>
    <n v="67"/>
    <n v="76.89"/>
    <x v="29"/>
    <x v="11"/>
    <x v="0"/>
  </r>
  <r>
    <d v="2025-12-26T00:00:00"/>
    <s v="P0001"/>
    <n v="3"/>
    <x v="1"/>
    <x v="0"/>
    <n v="0"/>
    <x v="17"/>
    <x v="4"/>
    <x v="2"/>
    <n v="98"/>
    <n v="113.51"/>
    <n v="294"/>
    <n v="340.53000000000003"/>
    <x v="30"/>
    <x v="11"/>
    <x v="0"/>
  </r>
  <r>
    <d v="2025-12-27T00:00:00"/>
    <s v="P0015"/>
    <n v="9"/>
    <x v="1"/>
    <x v="0"/>
    <n v="0.02"/>
    <x v="22"/>
    <x v="0"/>
    <x v="3"/>
    <n v="130"/>
    <n v="143.15"/>
    <n v="1170"/>
    <n v="1288.3500000000001"/>
    <x v="17"/>
    <x v="11"/>
    <x v="0"/>
  </r>
  <r>
    <d v="2025-12-27T00:00:00"/>
    <s v="P0014"/>
    <n v="7"/>
    <x v="0"/>
    <x v="0"/>
    <n v="0"/>
    <x v="2"/>
    <x v="2"/>
    <x v="2"/>
    <n v="112"/>
    <n v="126.94"/>
    <n v="784"/>
    <n v="888.57999999999993"/>
    <x v="17"/>
    <x v="11"/>
    <x v="0"/>
  </r>
  <r>
    <d v="2025-12-28T00:00:00"/>
    <s v="P0019"/>
    <n v="12"/>
    <x v="0"/>
    <x v="1"/>
    <n v="0"/>
    <x v="12"/>
    <x v="0"/>
    <x v="2"/>
    <n v="67"/>
    <n v="77.64"/>
    <n v="804"/>
    <n v="931.68000000000006"/>
    <x v="18"/>
    <x v="11"/>
    <x v="0"/>
  </r>
  <r>
    <d v="2025-12-28T00:00:00"/>
    <s v="P0031"/>
    <n v="8"/>
    <x v="1"/>
    <x v="1"/>
    <n v="0.02"/>
    <x v="28"/>
    <x v="1"/>
    <x v="2"/>
    <n v="93"/>
    <n v="106.05"/>
    <n v="744"/>
    <n v="848.4"/>
    <x v="18"/>
    <x v="11"/>
    <x v="0"/>
  </r>
  <r>
    <d v="2025-12-29T00:00:00"/>
    <s v="P0029"/>
    <n v="8"/>
    <x v="1"/>
    <x v="1"/>
    <n v="0"/>
    <x v="25"/>
    <x v="1"/>
    <x v="1"/>
    <n v="47"/>
    <n v="55.07"/>
    <n v="376"/>
    <n v="440.56"/>
    <x v="19"/>
    <x v="11"/>
    <x v="0"/>
  </r>
  <r>
    <d v="2025-12-29T00:00:00"/>
    <s v="P0014"/>
    <n v="8"/>
    <x v="1"/>
    <x v="1"/>
    <n v="0"/>
    <x v="2"/>
    <x v="2"/>
    <x v="2"/>
    <n v="112"/>
    <n v="129.87"/>
    <n v="896"/>
    <n v="1038.96"/>
    <x v="19"/>
    <x v="11"/>
    <x v="0"/>
  </r>
  <r>
    <d v="2025-12-30T00:00:00"/>
    <s v="P0029"/>
    <n v="8"/>
    <x v="2"/>
    <x v="1"/>
    <n v="0"/>
    <x v="25"/>
    <x v="1"/>
    <x v="1"/>
    <n v="47"/>
    <n v="51.8"/>
    <n v="376"/>
    <n v="414.4"/>
    <x v="20"/>
    <x v="11"/>
    <x v="0"/>
  </r>
  <r>
    <d v="2025-12-31T00:00:00"/>
    <s v="P0026"/>
    <n v="15"/>
    <x v="2"/>
    <x v="1"/>
    <n v="0"/>
    <x v="35"/>
    <x v="1"/>
    <x v="2"/>
    <n v="56"/>
    <n v="63.65"/>
    <n v="840"/>
    <n v="954.75"/>
    <x v="21"/>
    <x v="11"/>
    <x v="0"/>
  </r>
  <r>
    <d v="2024-01-01T00:00:00"/>
    <s v="P0026"/>
    <n v="8"/>
    <x v="1"/>
    <x v="1"/>
    <n v="0.02"/>
    <x v="35"/>
    <x v="1"/>
    <x v="2"/>
    <n v="59"/>
    <n v="65.91"/>
    <n v="472"/>
    <n v="527.28"/>
    <x v="22"/>
    <x v="0"/>
    <x v="1"/>
  </r>
  <r>
    <d v="2024-01-01T00:00:00"/>
    <s v="P0008"/>
    <n v="4"/>
    <x v="0"/>
    <x v="0"/>
    <n v="0"/>
    <x v="20"/>
    <x v="2"/>
    <x v="2"/>
    <n v="65"/>
    <n v="72.23"/>
    <n v="260"/>
    <n v="288.92"/>
    <x v="22"/>
    <x v="0"/>
    <x v="1"/>
  </r>
  <r>
    <d v="2024-01-02T00:00:00"/>
    <s v="P0045"/>
    <n v="7"/>
    <x v="1"/>
    <x v="1"/>
    <n v="0.05"/>
    <x v="5"/>
    <x v="3"/>
    <x v="1"/>
    <n v="67"/>
    <n v="73.44"/>
    <n v="469"/>
    <n v="514.07999999999993"/>
    <x v="0"/>
    <x v="0"/>
    <x v="1"/>
  </r>
  <r>
    <d v="2024-01-03T00:00:00"/>
    <s v="P0038"/>
    <n v="3"/>
    <x v="0"/>
    <x v="0"/>
    <n v="0.08"/>
    <x v="34"/>
    <x v="3"/>
    <x v="2"/>
    <n v="76"/>
    <n v="78.790000000000006"/>
    <n v="228"/>
    <n v="236.37"/>
    <x v="1"/>
    <x v="0"/>
    <x v="1"/>
  </r>
  <r>
    <d v="2024-01-04T00:00:00"/>
    <s v="P0013"/>
    <n v="2"/>
    <x v="0"/>
    <x v="1"/>
    <n v="0.1"/>
    <x v="43"/>
    <x v="2"/>
    <x v="2"/>
    <n v="118"/>
    <n v="121.48"/>
    <n v="236"/>
    <n v="242.96"/>
    <x v="2"/>
    <x v="0"/>
    <x v="1"/>
  </r>
  <r>
    <d v="2024-01-04T00:00:00"/>
    <s v="P0019"/>
    <n v="5"/>
    <x v="1"/>
    <x v="1"/>
    <n v="0"/>
    <x v="12"/>
    <x v="0"/>
    <x v="2"/>
    <n v="73"/>
    <n v="86.01"/>
    <n v="365"/>
    <n v="430.05"/>
    <x v="2"/>
    <x v="0"/>
    <x v="1"/>
  </r>
  <r>
    <d v="2024-01-04T00:00:00"/>
    <s v="P0025"/>
    <n v="2"/>
    <x v="1"/>
    <x v="1"/>
    <n v="0"/>
    <x v="0"/>
    <x v="0"/>
    <x v="0"/>
    <n v="8"/>
    <n v="8.7899999999999991"/>
    <n v="16"/>
    <n v="17.579999999999998"/>
    <x v="2"/>
    <x v="0"/>
    <x v="1"/>
  </r>
  <r>
    <d v="2024-01-04T00:00:00"/>
    <s v="P0032"/>
    <n v="7"/>
    <x v="1"/>
    <x v="1"/>
    <n v="0"/>
    <x v="33"/>
    <x v="1"/>
    <x v="2"/>
    <n v="95"/>
    <n v="108.04"/>
    <n v="665"/>
    <n v="756.28000000000009"/>
    <x v="2"/>
    <x v="0"/>
    <x v="1"/>
  </r>
  <r>
    <d v="2024-01-05T00:00:00"/>
    <s v="P0041"/>
    <n v="11"/>
    <x v="2"/>
    <x v="1"/>
    <n v="0"/>
    <x v="8"/>
    <x v="3"/>
    <x v="3"/>
    <n v="106"/>
    <n v="114.8"/>
    <n v="1166"/>
    <n v="1262.8"/>
    <x v="23"/>
    <x v="0"/>
    <x v="1"/>
  </r>
  <r>
    <d v="2024-01-06T00:00:00"/>
    <s v="P0025"/>
    <n v="15"/>
    <x v="2"/>
    <x v="1"/>
    <n v="0.05"/>
    <x v="0"/>
    <x v="0"/>
    <x v="0"/>
    <n v="7"/>
    <n v="7.64"/>
    <n v="105"/>
    <n v="114.6"/>
    <x v="24"/>
    <x v="0"/>
    <x v="1"/>
  </r>
  <r>
    <d v="2024-01-07T00:00:00"/>
    <s v="P0028"/>
    <n v="11"/>
    <x v="1"/>
    <x v="1"/>
    <n v="0"/>
    <x v="31"/>
    <x v="1"/>
    <x v="1"/>
    <n v="56"/>
    <n v="65.94"/>
    <n v="616"/>
    <n v="725.33999999999992"/>
    <x v="3"/>
    <x v="0"/>
    <x v="1"/>
  </r>
  <r>
    <d v="2024-01-08T00:00:00"/>
    <s v="P0005"/>
    <n v="9"/>
    <x v="2"/>
    <x v="1"/>
    <n v="0"/>
    <x v="23"/>
    <x v="4"/>
    <x v="1"/>
    <n v="55"/>
    <n v="62.35"/>
    <n v="495"/>
    <n v="561.15"/>
    <x v="4"/>
    <x v="0"/>
    <x v="1"/>
  </r>
  <r>
    <d v="2024-01-09T00:00:00"/>
    <s v="P0042"/>
    <n v="5"/>
    <x v="2"/>
    <x v="0"/>
    <n v="0"/>
    <x v="30"/>
    <x v="3"/>
    <x v="3"/>
    <n v="129"/>
    <n v="140.04"/>
    <n v="645"/>
    <n v="700.19999999999993"/>
    <x v="5"/>
    <x v="0"/>
    <x v="1"/>
  </r>
  <r>
    <d v="2024-01-09T00:00:00"/>
    <s v="P0014"/>
    <n v="11"/>
    <x v="1"/>
    <x v="0"/>
    <n v="0"/>
    <x v="2"/>
    <x v="2"/>
    <x v="2"/>
    <n v="121"/>
    <n v="133.37"/>
    <n v="1331"/>
    <n v="1467.0700000000002"/>
    <x v="5"/>
    <x v="0"/>
    <x v="1"/>
  </r>
  <r>
    <d v="2024-01-10T00:00:00"/>
    <s v="P0027"/>
    <n v="4"/>
    <x v="2"/>
    <x v="1"/>
    <n v="0"/>
    <x v="1"/>
    <x v="1"/>
    <x v="1"/>
    <n v="51"/>
    <n v="59.15"/>
    <n v="204"/>
    <n v="236.6"/>
    <x v="6"/>
    <x v="0"/>
    <x v="1"/>
  </r>
  <r>
    <d v="2024-01-10T00:00:00"/>
    <s v="P0017"/>
    <n v="4"/>
    <x v="0"/>
    <x v="1"/>
    <n v="0.08"/>
    <x v="4"/>
    <x v="0"/>
    <x v="0"/>
    <n v="13"/>
    <n v="13.18"/>
    <n v="52"/>
    <n v="52.72"/>
    <x v="6"/>
    <x v="0"/>
    <x v="1"/>
  </r>
  <r>
    <d v="2024-01-11T00:00:00"/>
    <s v="P0004"/>
    <n v="11"/>
    <x v="1"/>
    <x v="1"/>
    <n v="0"/>
    <x v="37"/>
    <x v="4"/>
    <x v="1"/>
    <n v="48"/>
    <n v="56.35"/>
    <n v="528"/>
    <n v="619.85"/>
    <x v="25"/>
    <x v="0"/>
    <x v="1"/>
  </r>
  <r>
    <d v="2024-01-11T00:00:00"/>
    <s v="P0007"/>
    <n v="7"/>
    <x v="2"/>
    <x v="0"/>
    <n v="0"/>
    <x v="38"/>
    <x v="2"/>
    <x v="2"/>
    <n v="91"/>
    <n v="99.77"/>
    <n v="637"/>
    <n v="698.39"/>
    <x v="25"/>
    <x v="0"/>
    <x v="1"/>
  </r>
  <r>
    <d v="2024-01-12T00:00:00"/>
    <s v="P0017"/>
    <n v="2"/>
    <x v="1"/>
    <x v="1"/>
    <n v="0"/>
    <x v="4"/>
    <x v="0"/>
    <x v="0"/>
    <n v="12"/>
    <n v="13.75"/>
    <n v="24"/>
    <n v="27.5"/>
    <x v="26"/>
    <x v="0"/>
    <x v="1"/>
  </r>
  <r>
    <d v="2024-01-14T00:00:00"/>
    <s v="P0029"/>
    <n v="9"/>
    <x v="2"/>
    <x v="1"/>
    <n v="0"/>
    <x v="25"/>
    <x v="1"/>
    <x v="1"/>
    <n v="49"/>
    <n v="55.41"/>
    <n v="441"/>
    <n v="498.68999999999994"/>
    <x v="7"/>
    <x v="0"/>
    <x v="1"/>
  </r>
  <r>
    <d v="2024-01-15T00:00:00"/>
    <s v="P0014"/>
    <n v="3"/>
    <x v="1"/>
    <x v="0"/>
    <n v="0"/>
    <x v="2"/>
    <x v="2"/>
    <x v="2"/>
    <n v="119"/>
    <n v="139.21"/>
    <n v="357"/>
    <n v="417.63"/>
    <x v="8"/>
    <x v="0"/>
    <x v="1"/>
  </r>
  <r>
    <d v="2024-01-15T00:00:00"/>
    <s v="P0007"/>
    <n v="5"/>
    <x v="0"/>
    <x v="1"/>
    <n v="0.1"/>
    <x v="38"/>
    <x v="2"/>
    <x v="2"/>
    <n v="93"/>
    <n v="96.14"/>
    <n v="465"/>
    <n v="480.7"/>
    <x v="8"/>
    <x v="0"/>
    <x v="1"/>
  </r>
  <r>
    <d v="2024-01-15T00:00:00"/>
    <s v="P0011"/>
    <n v="4"/>
    <x v="1"/>
    <x v="1"/>
    <n v="0"/>
    <x v="3"/>
    <x v="2"/>
    <x v="2"/>
    <n v="49"/>
    <n v="54.04"/>
    <n v="196"/>
    <n v="216.16"/>
    <x v="8"/>
    <x v="0"/>
    <x v="1"/>
  </r>
  <r>
    <d v="2024-01-15T00:00:00"/>
    <s v="P0035"/>
    <n v="6"/>
    <x v="2"/>
    <x v="0"/>
    <n v="0"/>
    <x v="6"/>
    <x v="1"/>
    <x v="0"/>
    <n v="5"/>
    <n v="5.82"/>
    <n v="30"/>
    <n v="34.92"/>
    <x v="8"/>
    <x v="0"/>
    <x v="1"/>
  </r>
  <r>
    <d v="2024-01-16T00:00:00"/>
    <s v="P0022"/>
    <n v="1"/>
    <x v="1"/>
    <x v="1"/>
    <n v="0"/>
    <x v="10"/>
    <x v="0"/>
    <x v="3"/>
    <n v="119"/>
    <n v="139.33000000000001"/>
    <n v="119"/>
    <n v="139.33000000000001"/>
    <x v="9"/>
    <x v="0"/>
    <x v="1"/>
  </r>
  <r>
    <d v="2024-01-16T00:00:00"/>
    <s v="P0021"/>
    <n v="8"/>
    <x v="1"/>
    <x v="0"/>
    <n v="0"/>
    <x v="18"/>
    <x v="0"/>
    <x v="2"/>
    <n v="87"/>
    <n v="94.08"/>
    <n v="696"/>
    <n v="752.64"/>
    <x v="9"/>
    <x v="0"/>
    <x v="1"/>
  </r>
  <r>
    <d v="2024-01-16T00:00:00"/>
    <s v="P0018"/>
    <n v="5"/>
    <x v="1"/>
    <x v="0"/>
    <n v="0"/>
    <x v="11"/>
    <x v="0"/>
    <x v="0"/>
    <n v="9"/>
    <n v="10.52"/>
    <n v="45"/>
    <n v="52.599999999999994"/>
    <x v="9"/>
    <x v="0"/>
    <x v="1"/>
  </r>
  <r>
    <d v="2024-01-17T00:00:00"/>
    <s v="P0035"/>
    <n v="7"/>
    <x v="0"/>
    <x v="1"/>
    <n v="0.02"/>
    <x v="6"/>
    <x v="1"/>
    <x v="0"/>
    <n v="5"/>
    <n v="5.5"/>
    <n v="35"/>
    <n v="38.5"/>
    <x v="10"/>
    <x v="0"/>
    <x v="1"/>
  </r>
  <r>
    <d v="2024-01-17T00:00:00"/>
    <s v="P0022"/>
    <n v="11"/>
    <x v="2"/>
    <x v="1"/>
    <n v="0"/>
    <x v="10"/>
    <x v="0"/>
    <x v="3"/>
    <n v="116"/>
    <n v="126.83"/>
    <n v="1276"/>
    <n v="1395.1299999999999"/>
    <x v="10"/>
    <x v="0"/>
    <x v="1"/>
  </r>
  <r>
    <d v="2024-01-17T00:00:00"/>
    <s v="P0042"/>
    <n v="9"/>
    <x v="2"/>
    <x v="1"/>
    <n v="0"/>
    <x v="30"/>
    <x v="3"/>
    <x v="3"/>
    <n v="130"/>
    <n v="149.54"/>
    <n v="1170"/>
    <n v="1345.86"/>
    <x v="10"/>
    <x v="0"/>
    <x v="1"/>
  </r>
  <r>
    <d v="2024-01-17T00:00:00"/>
    <s v="P0014"/>
    <n v="7"/>
    <x v="2"/>
    <x v="0"/>
    <n v="0"/>
    <x v="2"/>
    <x v="2"/>
    <x v="2"/>
    <n v="122"/>
    <n v="136.03"/>
    <n v="854"/>
    <n v="952.21"/>
    <x v="10"/>
    <x v="0"/>
    <x v="1"/>
  </r>
  <r>
    <d v="2024-01-17T00:00:00"/>
    <s v="P0032"/>
    <n v="4"/>
    <x v="1"/>
    <x v="1"/>
    <n v="0"/>
    <x v="33"/>
    <x v="1"/>
    <x v="2"/>
    <n v="98"/>
    <n v="114.66"/>
    <n v="392"/>
    <n v="458.64"/>
    <x v="10"/>
    <x v="0"/>
    <x v="1"/>
  </r>
  <r>
    <d v="2024-01-17T00:00:00"/>
    <s v="P0020"/>
    <n v="12"/>
    <x v="2"/>
    <x v="0"/>
    <n v="0.05"/>
    <x v="21"/>
    <x v="0"/>
    <x v="1"/>
    <n v="65"/>
    <n v="67.69"/>
    <n v="780"/>
    <n v="812.28"/>
    <x v="10"/>
    <x v="0"/>
    <x v="1"/>
  </r>
  <r>
    <d v="2024-01-18T00:00:00"/>
    <s v="P0024"/>
    <n v="2"/>
    <x v="1"/>
    <x v="1"/>
    <n v="0"/>
    <x v="39"/>
    <x v="0"/>
    <x v="3"/>
    <n v="150"/>
    <n v="170.65"/>
    <n v="300"/>
    <n v="341.3"/>
    <x v="11"/>
    <x v="0"/>
    <x v="1"/>
  </r>
  <r>
    <d v="2024-01-19T00:00:00"/>
    <s v="P0019"/>
    <n v="8"/>
    <x v="1"/>
    <x v="1"/>
    <n v="0"/>
    <x v="12"/>
    <x v="0"/>
    <x v="2"/>
    <n v="72"/>
    <n v="80.08"/>
    <n v="576"/>
    <n v="640.64"/>
    <x v="12"/>
    <x v="0"/>
    <x v="1"/>
  </r>
  <r>
    <d v="2024-01-19T00:00:00"/>
    <s v="P0044"/>
    <n v="11"/>
    <x v="2"/>
    <x v="1"/>
    <n v="0"/>
    <x v="32"/>
    <x v="3"/>
    <x v="2"/>
    <n v="79"/>
    <n v="90.82"/>
    <n v="869"/>
    <n v="999.02"/>
    <x v="12"/>
    <x v="0"/>
    <x v="1"/>
  </r>
  <r>
    <d v="2024-01-20T00:00:00"/>
    <s v="P0004"/>
    <n v="9"/>
    <x v="0"/>
    <x v="0"/>
    <n v="0"/>
    <x v="37"/>
    <x v="4"/>
    <x v="1"/>
    <n v="46"/>
    <n v="50.12"/>
    <n v="414"/>
    <n v="451.08"/>
    <x v="13"/>
    <x v="0"/>
    <x v="1"/>
  </r>
  <r>
    <d v="2024-01-21T00:00:00"/>
    <s v="P0024"/>
    <n v="2"/>
    <x v="0"/>
    <x v="0"/>
    <n v="0.02"/>
    <x v="39"/>
    <x v="0"/>
    <x v="3"/>
    <n v="151"/>
    <n v="169.78"/>
    <n v="302"/>
    <n v="339.56"/>
    <x v="14"/>
    <x v="0"/>
    <x v="1"/>
  </r>
  <r>
    <d v="2024-01-21T00:00:00"/>
    <s v="P0045"/>
    <n v="10"/>
    <x v="1"/>
    <x v="1"/>
    <n v="0"/>
    <x v="5"/>
    <x v="3"/>
    <x v="1"/>
    <n v="69"/>
    <n v="76.09"/>
    <n v="690"/>
    <n v="760.90000000000009"/>
    <x v="14"/>
    <x v="0"/>
    <x v="1"/>
  </r>
  <r>
    <d v="2024-01-21T00:00:00"/>
    <s v="P0042"/>
    <n v="6"/>
    <x v="1"/>
    <x v="0"/>
    <n v="0"/>
    <x v="30"/>
    <x v="3"/>
    <x v="3"/>
    <n v="125"/>
    <n v="141.22"/>
    <n v="750"/>
    <n v="847.31999999999994"/>
    <x v="14"/>
    <x v="0"/>
    <x v="1"/>
  </r>
  <r>
    <d v="2024-01-23T00:00:00"/>
    <s v="P0029"/>
    <n v="1"/>
    <x v="2"/>
    <x v="1"/>
    <n v="0"/>
    <x v="25"/>
    <x v="1"/>
    <x v="1"/>
    <n v="50"/>
    <n v="58.65"/>
    <n v="50"/>
    <n v="58.65"/>
    <x v="15"/>
    <x v="0"/>
    <x v="1"/>
  </r>
  <r>
    <d v="2024-01-23T00:00:00"/>
    <s v="P0003"/>
    <n v="2"/>
    <x v="2"/>
    <x v="0"/>
    <n v="0"/>
    <x v="15"/>
    <x v="4"/>
    <x v="2"/>
    <n v="76"/>
    <n v="83.46"/>
    <n v="152"/>
    <n v="166.92"/>
    <x v="15"/>
    <x v="0"/>
    <x v="1"/>
  </r>
  <r>
    <d v="2024-01-23T00:00:00"/>
    <s v="P0011"/>
    <n v="4"/>
    <x v="0"/>
    <x v="1"/>
    <n v="0.05"/>
    <x v="3"/>
    <x v="2"/>
    <x v="2"/>
    <n v="49"/>
    <n v="53.77"/>
    <n v="196"/>
    <n v="215.08"/>
    <x v="15"/>
    <x v="0"/>
    <x v="1"/>
  </r>
  <r>
    <d v="2024-01-23T00:00:00"/>
    <s v="P0045"/>
    <n v="10"/>
    <x v="1"/>
    <x v="1"/>
    <n v="0"/>
    <x v="5"/>
    <x v="3"/>
    <x v="1"/>
    <n v="66"/>
    <n v="75.16"/>
    <n v="660"/>
    <n v="751.59999999999991"/>
    <x v="15"/>
    <x v="0"/>
    <x v="1"/>
  </r>
  <r>
    <d v="2024-01-23T00:00:00"/>
    <s v="P0036"/>
    <n v="15"/>
    <x v="2"/>
    <x v="1"/>
    <n v="0"/>
    <x v="13"/>
    <x v="3"/>
    <x v="2"/>
    <n v="108"/>
    <n v="127.22"/>
    <n v="1620"/>
    <n v="1908.3"/>
    <x v="15"/>
    <x v="0"/>
    <x v="1"/>
  </r>
  <r>
    <d v="2024-01-25T00:00:00"/>
    <s v="P0008"/>
    <n v="4"/>
    <x v="2"/>
    <x v="0"/>
    <n v="0"/>
    <x v="20"/>
    <x v="2"/>
    <x v="2"/>
    <n v="64"/>
    <n v="70.14"/>
    <n v="256"/>
    <n v="280.56"/>
    <x v="29"/>
    <x v="0"/>
    <x v="1"/>
  </r>
  <r>
    <d v="2024-01-28T00:00:00"/>
    <s v="P0027"/>
    <n v="13"/>
    <x v="1"/>
    <x v="0"/>
    <n v="0.05"/>
    <x v="1"/>
    <x v="1"/>
    <x v="1"/>
    <n v="52"/>
    <n v="54.45"/>
    <n v="676"/>
    <n v="707.85"/>
    <x v="18"/>
    <x v="0"/>
    <x v="1"/>
  </r>
  <r>
    <d v="2024-01-28T00:00:00"/>
    <s v="P0040"/>
    <n v="15"/>
    <x v="2"/>
    <x v="1"/>
    <n v="0.05"/>
    <x v="40"/>
    <x v="3"/>
    <x v="2"/>
    <n v="96"/>
    <n v="106.54"/>
    <n v="1440"/>
    <n v="1598.1000000000001"/>
    <x v="18"/>
    <x v="0"/>
    <x v="1"/>
  </r>
  <r>
    <d v="2024-01-28T00:00:00"/>
    <s v="P0034"/>
    <n v="14"/>
    <x v="2"/>
    <x v="1"/>
    <n v="0"/>
    <x v="36"/>
    <x v="1"/>
    <x v="1"/>
    <n v="58"/>
    <n v="67.62"/>
    <n v="812"/>
    <n v="946.68000000000006"/>
    <x v="18"/>
    <x v="0"/>
    <x v="1"/>
  </r>
  <r>
    <d v="2024-01-30T00:00:00"/>
    <s v="P0018"/>
    <n v="6"/>
    <x v="1"/>
    <x v="0"/>
    <n v="0"/>
    <x v="11"/>
    <x v="0"/>
    <x v="0"/>
    <n v="9"/>
    <n v="9.7799999999999994"/>
    <n v="54"/>
    <n v="58.679999999999993"/>
    <x v="20"/>
    <x v="0"/>
    <x v="1"/>
  </r>
  <r>
    <d v="2024-01-30T00:00:00"/>
    <s v="P0033"/>
    <n v="9"/>
    <x v="2"/>
    <x v="0"/>
    <n v="0"/>
    <x v="44"/>
    <x v="1"/>
    <x v="0"/>
    <n v="9"/>
    <n v="10.23"/>
    <n v="81"/>
    <n v="92.070000000000007"/>
    <x v="20"/>
    <x v="0"/>
    <x v="1"/>
  </r>
  <r>
    <d v="2024-02-01T00:00:00"/>
    <s v="P0002"/>
    <n v="6"/>
    <x v="1"/>
    <x v="1"/>
    <n v="0"/>
    <x v="42"/>
    <x v="4"/>
    <x v="2"/>
    <n v="69"/>
    <n v="80.040000000000006"/>
    <n v="414"/>
    <n v="480.24"/>
    <x v="22"/>
    <x v="1"/>
    <x v="1"/>
  </r>
  <r>
    <d v="2024-02-02T00:00:00"/>
    <s v="P0019"/>
    <n v="4"/>
    <x v="1"/>
    <x v="0"/>
    <n v="0"/>
    <x v="12"/>
    <x v="0"/>
    <x v="2"/>
    <n v="70"/>
    <n v="76.67"/>
    <n v="280"/>
    <n v="306.68"/>
    <x v="0"/>
    <x v="1"/>
    <x v="1"/>
  </r>
  <r>
    <d v="2024-02-03T00:00:00"/>
    <s v="P0020"/>
    <n v="1"/>
    <x v="2"/>
    <x v="0"/>
    <n v="0"/>
    <x v="21"/>
    <x v="0"/>
    <x v="1"/>
    <n v="64"/>
    <n v="71.2"/>
    <n v="64"/>
    <n v="71.2"/>
    <x v="1"/>
    <x v="1"/>
    <x v="1"/>
  </r>
  <r>
    <d v="2024-02-03T00:00:00"/>
    <s v="P0038"/>
    <n v="13"/>
    <x v="0"/>
    <x v="0"/>
    <n v="0"/>
    <x v="34"/>
    <x v="3"/>
    <x v="2"/>
    <n v="74"/>
    <n v="81.34"/>
    <n v="962"/>
    <n v="1057.42"/>
    <x v="1"/>
    <x v="1"/>
    <x v="1"/>
  </r>
  <r>
    <d v="2024-02-05T00:00:00"/>
    <s v="P0045"/>
    <n v="13"/>
    <x v="2"/>
    <x v="0"/>
    <n v="0"/>
    <x v="5"/>
    <x v="3"/>
    <x v="1"/>
    <n v="69"/>
    <n v="75.58"/>
    <n v="897"/>
    <n v="982.54"/>
    <x v="23"/>
    <x v="1"/>
    <x v="1"/>
  </r>
  <r>
    <d v="2024-02-07T00:00:00"/>
    <s v="P0034"/>
    <n v="15"/>
    <x v="1"/>
    <x v="0"/>
    <n v="0"/>
    <x v="36"/>
    <x v="1"/>
    <x v="1"/>
    <n v="58"/>
    <n v="67.459999999999994"/>
    <n v="870"/>
    <n v="1011.8999999999999"/>
    <x v="3"/>
    <x v="1"/>
    <x v="1"/>
  </r>
  <r>
    <d v="2024-02-08T00:00:00"/>
    <s v="P0045"/>
    <n v="14"/>
    <x v="0"/>
    <x v="0"/>
    <n v="0"/>
    <x v="5"/>
    <x v="3"/>
    <x v="1"/>
    <n v="69"/>
    <n v="75.48"/>
    <n v="966"/>
    <n v="1056.72"/>
    <x v="4"/>
    <x v="1"/>
    <x v="1"/>
  </r>
  <r>
    <d v="2024-02-08T00:00:00"/>
    <s v="P0010"/>
    <n v="2"/>
    <x v="1"/>
    <x v="1"/>
    <n v="0"/>
    <x v="26"/>
    <x v="2"/>
    <x v="2"/>
    <n v="115"/>
    <n v="125.61"/>
    <n v="230"/>
    <n v="251.22"/>
    <x v="4"/>
    <x v="1"/>
    <x v="1"/>
  </r>
  <r>
    <d v="2024-02-08T00:00:00"/>
    <s v="P0042"/>
    <n v="13"/>
    <x v="1"/>
    <x v="0"/>
    <n v="0"/>
    <x v="30"/>
    <x v="3"/>
    <x v="3"/>
    <n v="132"/>
    <n v="148.31"/>
    <n v="1716"/>
    <n v="1928.03"/>
    <x v="4"/>
    <x v="1"/>
    <x v="1"/>
  </r>
  <r>
    <d v="2024-02-10T00:00:00"/>
    <s v="P0022"/>
    <n v="3"/>
    <x v="1"/>
    <x v="0"/>
    <n v="0.05"/>
    <x v="10"/>
    <x v="0"/>
    <x v="3"/>
    <n v="116"/>
    <n v="127.12"/>
    <n v="348"/>
    <n v="381.36"/>
    <x v="6"/>
    <x v="1"/>
    <x v="1"/>
  </r>
  <r>
    <d v="2024-02-11T00:00:00"/>
    <s v="P0043"/>
    <n v="9"/>
    <x v="2"/>
    <x v="0"/>
    <n v="0"/>
    <x v="29"/>
    <x v="3"/>
    <x v="0"/>
    <n v="11"/>
    <n v="12.79"/>
    <n v="99"/>
    <n v="115.10999999999999"/>
    <x v="25"/>
    <x v="1"/>
    <x v="1"/>
  </r>
  <r>
    <d v="2024-02-12T00:00:00"/>
    <s v="P0038"/>
    <n v="2"/>
    <x v="2"/>
    <x v="1"/>
    <n v="0"/>
    <x v="34"/>
    <x v="3"/>
    <x v="2"/>
    <n v="79"/>
    <n v="86.17"/>
    <n v="158"/>
    <n v="172.34"/>
    <x v="26"/>
    <x v="1"/>
    <x v="1"/>
  </r>
  <r>
    <d v="2024-02-13T00:00:00"/>
    <s v="P0043"/>
    <n v="1"/>
    <x v="0"/>
    <x v="1"/>
    <n v="0.08"/>
    <x v="29"/>
    <x v="3"/>
    <x v="0"/>
    <n v="12"/>
    <n v="12.22"/>
    <n v="12"/>
    <n v="12.22"/>
    <x v="27"/>
    <x v="1"/>
    <x v="1"/>
  </r>
  <r>
    <d v="2024-02-13T00:00:00"/>
    <s v="P0017"/>
    <n v="11"/>
    <x v="2"/>
    <x v="0"/>
    <n v="0"/>
    <x v="4"/>
    <x v="0"/>
    <x v="0"/>
    <n v="13"/>
    <n v="14.12"/>
    <n v="143"/>
    <n v="155.32"/>
    <x v="27"/>
    <x v="1"/>
    <x v="1"/>
  </r>
  <r>
    <d v="2024-02-13T00:00:00"/>
    <s v="P0032"/>
    <n v="5"/>
    <x v="1"/>
    <x v="0"/>
    <n v="0"/>
    <x v="33"/>
    <x v="1"/>
    <x v="2"/>
    <n v="93"/>
    <n v="105.41"/>
    <n v="465"/>
    <n v="527.04999999999995"/>
    <x v="27"/>
    <x v="1"/>
    <x v="1"/>
  </r>
  <r>
    <d v="2024-02-14T00:00:00"/>
    <s v="P0043"/>
    <n v="3"/>
    <x v="0"/>
    <x v="0"/>
    <n v="0.08"/>
    <x v="29"/>
    <x v="3"/>
    <x v="0"/>
    <n v="11"/>
    <n v="11.33"/>
    <n v="33"/>
    <n v="33.99"/>
    <x v="7"/>
    <x v="1"/>
    <x v="1"/>
  </r>
  <r>
    <d v="2024-02-14T00:00:00"/>
    <s v="P0040"/>
    <n v="2"/>
    <x v="1"/>
    <x v="0"/>
    <n v="0"/>
    <x v="40"/>
    <x v="3"/>
    <x v="2"/>
    <n v="95"/>
    <n v="106.4"/>
    <n v="190"/>
    <n v="212.8"/>
    <x v="7"/>
    <x v="1"/>
    <x v="1"/>
  </r>
  <r>
    <d v="2024-02-14T00:00:00"/>
    <s v="P0026"/>
    <n v="1"/>
    <x v="0"/>
    <x v="1"/>
    <n v="0"/>
    <x v="35"/>
    <x v="1"/>
    <x v="2"/>
    <n v="58"/>
    <n v="64.03"/>
    <n v="58"/>
    <n v="64.03"/>
    <x v="7"/>
    <x v="1"/>
    <x v="1"/>
  </r>
  <r>
    <d v="2024-02-15T00:00:00"/>
    <s v="P0031"/>
    <n v="6"/>
    <x v="0"/>
    <x v="0"/>
    <n v="0.08"/>
    <x v="28"/>
    <x v="1"/>
    <x v="2"/>
    <n v="99"/>
    <n v="106.31"/>
    <n v="594"/>
    <n v="637.86"/>
    <x v="8"/>
    <x v="1"/>
    <x v="1"/>
  </r>
  <r>
    <d v="2024-02-17T00:00:00"/>
    <s v="P0037"/>
    <n v="3"/>
    <x v="2"/>
    <x v="0"/>
    <n v="0"/>
    <x v="24"/>
    <x v="3"/>
    <x v="2"/>
    <n v="73"/>
    <n v="85.71"/>
    <n v="219"/>
    <n v="257.13"/>
    <x v="10"/>
    <x v="1"/>
    <x v="1"/>
  </r>
  <r>
    <d v="2024-02-18T00:00:00"/>
    <s v="P0043"/>
    <n v="3"/>
    <x v="2"/>
    <x v="1"/>
    <n v="0"/>
    <x v="29"/>
    <x v="3"/>
    <x v="0"/>
    <n v="12"/>
    <n v="14.08"/>
    <n v="36"/>
    <n v="42.24"/>
    <x v="11"/>
    <x v="1"/>
    <x v="1"/>
  </r>
  <r>
    <d v="2024-02-20T00:00:00"/>
    <s v="P0023"/>
    <n v="10"/>
    <x v="1"/>
    <x v="1"/>
    <n v="0"/>
    <x v="7"/>
    <x v="0"/>
    <x v="3"/>
    <n v="154"/>
    <n v="170.49"/>
    <n v="1540"/>
    <n v="1704.9"/>
    <x v="13"/>
    <x v="1"/>
    <x v="1"/>
  </r>
  <r>
    <d v="2024-02-21T00:00:00"/>
    <s v="P0027"/>
    <n v="8"/>
    <x v="1"/>
    <x v="1"/>
    <n v="0"/>
    <x v="1"/>
    <x v="1"/>
    <x v="1"/>
    <n v="51"/>
    <n v="58.22"/>
    <n v="408"/>
    <n v="465.76"/>
    <x v="14"/>
    <x v="1"/>
    <x v="1"/>
  </r>
  <r>
    <d v="2024-02-23T00:00:00"/>
    <s v="P0007"/>
    <n v="12"/>
    <x v="2"/>
    <x v="0"/>
    <n v="0"/>
    <x v="38"/>
    <x v="2"/>
    <x v="2"/>
    <n v="94"/>
    <n v="109.77"/>
    <n v="1128"/>
    <n v="1317.24"/>
    <x v="15"/>
    <x v="1"/>
    <x v="1"/>
  </r>
  <r>
    <d v="2024-02-24T00:00:00"/>
    <s v="P0002"/>
    <n v="12"/>
    <x v="1"/>
    <x v="0"/>
    <n v="0"/>
    <x v="42"/>
    <x v="4"/>
    <x v="2"/>
    <n v="67"/>
    <n v="75.89"/>
    <n v="804"/>
    <n v="910.68000000000006"/>
    <x v="16"/>
    <x v="1"/>
    <x v="1"/>
  </r>
  <r>
    <d v="2024-02-25T00:00:00"/>
    <s v="P0033"/>
    <n v="6"/>
    <x v="2"/>
    <x v="1"/>
    <n v="0"/>
    <x v="44"/>
    <x v="1"/>
    <x v="0"/>
    <n v="10"/>
    <n v="11.33"/>
    <n v="60"/>
    <n v="67.98"/>
    <x v="29"/>
    <x v="1"/>
    <x v="1"/>
  </r>
  <r>
    <d v="2024-02-25T00:00:00"/>
    <s v="P0012"/>
    <n v="2"/>
    <x v="2"/>
    <x v="0"/>
    <n v="0"/>
    <x v="14"/>
    <x v="2"/>
    <x v="1"/>
    <n v="62"/>
    <n v="72.319999999999993"/>
    <n v="124"/>
    <n v="144.63999999999999"/>
    <x v="29"/>
    <x v="1"/>
    <x v="1"/>
  </r>
  <r>
    <d v="2024-02-27T00:00:00"/>
    <s v="P0005"/>
    <n v="8"/>
    <x v="1"/>
    <x v="0"/>
    <n v="0"/>
    <x v="23"/>
    <x v="4"/>
    <x v="1"/>
    <n v="55"/>
    <n v="62.04"/>
    <n v="440"/>
    <n v="496.32"/>
    <x v="17"/>
    <x v="1"/>
    <x v="1"/>
  </r>
  <r>
    <d v="2024-02-28T00:00:00"/>
    <s v="P0044"/>
    <n v="11"/>
    <x v="1"/>
    <x v="0"/>
    <n v="0"/>
    <x v="32"/>
    <x v="3"/>
    <x v="2"/>
    <n v="81"/>
    <n v="88.66"/>
    <n v="891"/>
    <n v="975.26"/>
    <x v="18"/>
    <x v="1"/>
    <x v="1"/>
  </r>
  <r>
    <d v="2024-02-28T00:00:00"/>
    <s v="P0039"/>
    <n v="3"/>
    <x v="0"/>
    <x v="1"/>
    <n v="0"/>
    <x v="27"/>
    <x v="3"/>
    <x v="1"/>
    <n v="44"/>
    <n v="51.28"/>
    <n v="132"/>
    <n v="153.84"/>
    <x v="18"/>
    <x v="1"/>
    <x v="1"/>
  </r>
  <r>
    <d v="2024-02-28T00:00:00"/>
    <s v="P0024"/>
    <n v="10"/>
    <x v="1"/>
    <x v="0"/>
    <n v="0"/>
    <x v="39"/>
    <x v="0"/>
    <x v="3"/>
    <n v="150"/>
    <n v="171.88"/>
    <n v="1500"/>
    <n v="1718.8"/>
    <x v="18"/>
    <x v="1"/>
    <x v="1"/>
  </r>
  <r>
    <d v="2024-03-02T00:00:00"/>
    <s v="P0032"/>
    <n v="14"/>
    <x v="1"/>
    <x v="0"/>
    <n v="0"/>
    <x v="33"/>
    <x v="1"/>
    <x v="2"/>
    <n v="96"/>
    <n v="103.96"/>
    <n v="1344"/>
    <n v="1455.4399999999998"/>
    <x v="0"/>
    <x v="2"/>
    <x v="1"/>
  </r>
  <r>
    <d v="2024-03-02T00:00:00"/>
    <s v="P0001"/>
    <n v="7"/>
    <x v="1"/>
    <x v="1"/>
    <n v="0"/>
    <x v="17"/>
    <x v="4"/>
    <x v="2"/>
    <n v="107"/>
    <n v="117.21"/>
    <n v="749"/>
    <n v="820.46999999999991"/>
    <x v="0"/>
    <x v="2"/>
    <x v="1"/>
  </r>
  <r>
    <d v="2024-03-03T00:00:00"/>
    <s v="P0022"/>
    <n v="3"/>
    <x v="1"/>
    <x v="0"/>
    <n v="0"/>
    <x v="10"/>
    <x v="0"/>
    <x v="3"/>
    <n v="119"/>
    <n v="140.12"/>
    <n v="357"/>
    <n v="420.36"/>
    <x v="1"/>
    <x v="2"/>
    <x v="1"/>
  </r>
  <r>
    <d v="2024-03-04T00:00:00"/>
    <s v="P0036"/>
    <n v="5"/>
    <x v="2"/>
    <x v="0"/>
    <n v="0"/>
    <x v="13"/>
    <x v="3"/>
    <x v="2"/>
    <n v="109"/>
    <n v="126.78"/>
    <n v="545"/>
    <n v="633.9"/>
    <x v="2"/>
    <x v="2"/>
    <x v="1"/>
  </r>
  <r>
    <d v="2024-03-04T00:00:00"/>
    <s v="P0040"/>
    <n v="11"/>
    <x v="2"/>
    <x v="1"/>
    <n v="0"/>
    <x v="40"/>
    <x v="3"/>
    <x v="2"/>
    <n v="93"/>
    <n v="108.42"/>
    <n v="1023"/>
    <n v="1192.6200000000001"/>
    <x v="2"/>
    <x v="2"/>
    <x v="1"/>
  </r>
  <r>
    <d v="2024-03-04T00:00:00"/>
    <s v="P0034"/>
    <n v="5"/>
    <x v="1"/>
    <x v="0"/>
    <n v="0"/>
    <x v="36"/>
    <x v="1"/>
    <x v="1"/>
    <n v="58"/>
    <n v="65.099999999999994"/>
    <n v="290"/>
    <n v="325.5"/>
    <x v="2"/>
    <x v="2"/>
    <x v="1"/>
  </r>
  <r>
    <d v="2024-03-05T00:00:00"/>
    <s v="P0045"/>
    <n v="11"/>
    <x v="1"/>
    <x v="0"/>
    <n v="0"/>
    <x v="5"/>
    <x v="3"/>
    <x v="1"/>
    <n v="66"/>
    <n v="76.02"/>
    <n v="726"/>
    <n v="836.21999999999991"/>
    <x v="23"/>
    <x v="2"/>
    <x v="1"/>
  </r>
  <r>
    <d v="2024-03-05T00:00:00"/>
    <s v="P0027"/>
    <n v="9"/>
    <x v="1"/>
    <x v="0"/>
    <n v="0"/>
    <x v="1"/>
    <x v="1"/>
    <x v="1"/>
    <n v="52"/>
    <n v="58.61"/>
    <n v="468"/>
    <n v="527.49"/>
    <x v="23"/>
    <x v="2"/>
    <x v="1"/>
  </r>
  <r>
    <d v="2024-03-05T00:00:00"/>
    <s v="P0038"/>
    <n v="4"/>
    <x v="2"/>
    <x v="0"/>
    <n v="0"/>
    <x v="34"/>
    <x v="3"/>
    <x v="2"/>
    <n v="78"/>
    <n v="88.58"/>
    <n v="312"/>
    <n v="354.32"/>
    <x v="23"/>
    <x v="2"/>
    <x v="1"/>
  </r>
  <r>
    <d v="2024-03-06T00:00:00"/>
    <s v="P0040"/>
    <n v="15"/>
    <x v="2"/>
    <x v="0"/>
    <n v="0"/>
    <x v="40"/>
    <x v="3"/>
    <x v="2"/>
    <n v="97"/>
    <n v="108.27"/>
    <n v="1455"/>
    <n v="1624.05"/>
    <x v="24"/>
    <x v="2"/>
    <x v="1"/>
  </r>
  <r>
    <d v="2024-03-08T00:00:00"/>
    <s v="P0036"/>
    <n v="5"/>
    <x v="2"/>
    <x v="1"/>
    <n v="0"/>
    <x v="13"/>
    <x v="3"/>
    <x v="2"/>
    <n v="108"/>
    <n v="119.92"/>
    <n v="540"/>
    <n v="599.6"/>
    <x v="4"/>
    <x v="2"/>
    <x v="1"/>
  </r>
  <r>
    <d v="2024-03-08T00:00:00"/>
    <s v="P0036"/>
    <n v="15"/>
    <x v="2"/>
    <x v="1"/>
    <n v="0"/>
    <x v="13"/>
    <x v="3"/>
    <x v="2"/>
    <n v="110"/>
    <n v="127.56"/>
    <n v="1650"/>
    <n v="1913.4"/>
    <x v="4"/>
    <x v="2"/>
    <x v="1"/>
  </r>
  <r>
    <d v="2024-03-09T00:00:00"/>
    <s v="P0028"/>
    <n v="4"/>
    <x v="0"/>
    <x v="0"/>
    <n v="0"/>
    <x v="31"/>
    <x v="1"/>
    <x v="1"/>
    <n v="57"/>
    <n v="66.709999999999994"/>
    <n v="228"/>
    <n v="266.83999999999997"/>
    <x v="5"/>
    <x v="2"/>
    <x v="1"/>
  </r>
  <r>
    <d v="2024-03-10T00:00:00"/>
    <s v="P0026"/>
    <n v="7"/>
    <x v="2"/>
    <x v="0"/>
    <n v="0"/>
    <x v="35"/>
    <x v="1"/>
    <x v="2"/>
    <n v="62"/>
    <n v="68.239999999999995"/>
    <n v="434"/>
    <n v="477.67999999999995"/>
    <x v="6"/>
    <x v="2"/>
    <x v="1"/>
  </r>
  <r>
    <d v="2024-03-10T00:00:00"/>
    <s v="P0038"/>
    <n v="14"/>
    <x v="1"/>
    <x v="0"/>
    <n v="0"/>
    <x v="34"/>
    <x v="3"/>
    <x v="2"/>
    <n v="79"/>
    <n v="93.12"/>
    <n v="1106"/>
    <n v="1303.68"/>
    <x v="6"/>
    <x v="2"/>
    <x v="1"/>
  </r>
  <r>
    <d v="2024-03-11T00:00:00"/>
    <s v="P0010"/>
    <n v="3"/>
    <x v="2"/>
    <x v="0"/>
    <n v="0"/>
    <x v="26"/>
    <x v="2"/>
    <x v="2"/>
    <n v="115"/>
    <n v="135.22999999999999"/>
    <n v="345"/>
    <n v="405.68999999999994"/>
    <x v="25"/>
    <x v="2"/>
    <x v="1"/>
  </r>
  <r>
    <d v="2024-03-11T00:00:00"/>
    <s v="P0017"/>
    <n v="8"/>
    <x v="2"/>
    <x v="0"/>
    <n v="0"/>
    <x v="4"/>
    <x v="0"/>
    <x v="0"/>
    <n v="13"/>
    <n v="14.24"/>
    <n v="104"/>
    <n v="113.92"/>
    <x v="25"/>
    <x v="2"/>
    <x v="1"/>
  </r>
  <r>
    <d v="2024-03-13T00:00:00"/>
    <s v="P0005"/>
    <n v="8"/>
    <x v="0"/>
    <x v="0"/>
    <n v="0"/>
    <x v="23"/>
    <x v="4"/>
    <x v="1"/>
    <n v="56"/>
    <n v="63.32"/>
    <n v="448"/>
    <n v="506.56"/>
    <x v="27"/>
    <x v="2"/>
    <x v="1"/>
  </r>
  <r>
    <d v="2024-03-13T00:00:00"/>
    <s v="P0024"/>
    <n v="15"/>
    <x v="2"/>
    <x v="1"/>
    <n v="0"/>
    <x v="39"/>
    <x v="0"/>
    <x v="3"/>
    <n v="156"/>
    <n v="178.73"/>
    <n v="2340"/>
    <n v="2680.95"/>
    <x v="27"/>
    <x v="2"/>
    <x v="1"/>
  </r>
  <r>
    <d v="2024-03-13T00:00:00"/>
    <s v="P0034"/>
    <n v="7"/>
    <x v="2"/>
    <x v="0"/>
    <n v="0"/>
    <x v="36"/>
    <x v="1"/>
    <x v="1"/>
    <n v="58"/>
    <n v="64.13"/>
    <n v="406"/>
    <n v="448.90999999999997"/>
    <x v="27"/>
    <x v="2"/>
    <x v="1"/>
  </r>
  <r>
    <d v="2024-03-13T00:00:00"/>
    <s v="P0014"/>
    <n v="14"/>
    <x v="2"/>
    <x v="1"/>
    <n v="0"/>
    <x v="2"/>
    <x v="2"/>
    <x v="2"/>
    <n v="121"/>
    <n v="135.02000000000001"/>
    <n v="1694"/>
    <n v="1890.2800000000002"/>
    <x v="27"/>
    <x v="2"/>
    <x v="1"/>
  </r>
  <r>
    <d v="2024-03-16T00:00:00"/>
    <s v="P0045"/>
    <n v="5"/>
    <x v="1"/>
    <x v="1"/>
    <n v="0"/>
    <x v="5"/>
    <x v="3"/>
    <x v="1"/>
    <n v="65"/>
    <n v="71.17"/>
    <n v="325"/>
    <n v="355.85"/>
    <x v="9"/>
    <x v="2"/>
    <x v="1"/>
  </r>
  <r>
    <d v="2024-03-16T00:00:00"/>
    <s v="P0002"/>
    <n v="13"/>
    <x v="1"/>
    <x v="0"/>
    <n v="0"/>
    <x v="42"/>
    <x v="4"/>
    <x v="2"/>
    <n v="67"/>
    <n v="75.25"/>
    <n v="871"/>
    <n v="978.25"/>
    <x v="9"/>
    <x v="2"/>
    <x v="1"/>
  </r>
  <r>
    <d v="2024-03-17T00:00:00"/>
    <s v="P0016"/>
    <n v="11"/>
    <x v="0"/>
    <x v="1"/>
    <n v="0.08"/>
    <x v="19"/>
    <x v="0"/>
    <x v="3"/>
    <n v="101"/>
    <n v="105.04"/>
    <n v="1111"/>
    <n v="1155.44"/>
    <x v="10"/>
    <x v="2"/>
    <x v="1"/>
  </r>
  <r>
    <d v="2024-03-19T00:00:00"/>
    <s v="P0036"/>
    <n v="1"/>
    <x v="2"/>
    <x v="0"/>
    <n v="0.05"/>
    <x v="13"/>
    <x v="3"/>
    <x v="2"/>
    <n v="108"/>
    <n v="112.49"/>
    <n v="108"/>
    <n v="112.49"/>
    <x v="12"/>
    <x v="2"/>
    <x v="1"/>
  </r>
  <r>
    <d v="2024-03-19T00:00:00"/>
    <s v="P0035"/>
    <n v="7"/>
    <x v="2"/>
    <x v="0"/>
    <n v="0"/>
    <x v="6"/>
    <x v="1"/>
    <x v="0"/>
    <n v="5"/>
    <n v="5.57"/>
    <n v="35"/>
    <n v="38.99"/>
    <x v="12"/>
    <x v="2"/>
    <x v="1"/>
  </r>
  <r>
    <d v="2024-03-23T00:00:00"/>
    <s v="P0007"/>
    <n v="3"/>
    <x v="0"/>
    <x v="0"/>
    <n v="0.02"/>
    <x v="38"/>
    <x v="2"/>
    <x v="2"/>
    <n v="92"/>
    <n v="98.86"/>
    <n v="276"/>
    <n v="296.58"/>
    <x v="15"/>
    <x v="2"/>
    <x v="1"/>
  </r>
  <r>
    <d v="2024-03-23T00:00:00"/>
    <s v="P0017"/>
    <n v="2"/>
    <x v="1"/>
    <x v="1"/>
    <n v="0"/>
    <x v="4"/>
    <x v="0"/>
    <x v="0"/>
    <n v="13"/>
    <n v="14.72"/>
    <n v="26"/>
    <n v="29.44"/>
    <x v="15"/>
    <x v="2"/>
    <x v="1"/>
  </r>
  <r>
    <d v="2024-03-23T00:00:00"/>
    <s v="P0024"/>
    <n v="11"/>
    <x v="1"/>
    <x v="0"/>
    <n v="0"/>
    <x v="39"/>
    <x v="0"/>
    <x v="3"/>
    <n v="157"/>
    <n v="181.63"/>
    <n v="1727"/>
    <n v="1997.9299999999998"/>
    <x v="15"/>
    <x v="2"/>
    <x v="1"/>
  </r>
  <r>
    <d v="2024-03-23T00:00:00"/>
    <s v="P0025"/>
    <n v="8"/>
    <x v="0"/>
    <x v="1"/>
    <n v="0.1"/>
    <x v="0"/>
    <x v="0"/>
    <x v="0"/>
    <n v="7"/>
    <n v="7.37"/>
    <n v="56"/>
    <n v="58.96"/>
    <x v="15"/>
    <x v="2"/>
    <x v="1"/>
  </r>
  <r>
    <d v="2024-03-23T00:00:00"/>
    <s v="P0042"/>
    <n v="2"/>
    <x v="0"/>
    <x v="0"/>
    <n v="0.02"/>
    <x v="30"/>
    <x v="3"/>
    <x v="3"/>
    <n v="127"/>
    <n v="140.05000000000001"/>
    <n v="254"/>
    <n v="280.10000000000002"/>
    <x v="15"/>
    <x v="2"/>
    <x v="1"/>
  </r>
  <r>
    <d v="2024-03-24T00:00:00"/>
    <s v="P0011"/>
    <n v="6"/>
    <x v="1"/>
    <x v="0"/>
    <n v="0"/>
    <x v="3"/>
    <x v="2"/>
    <x v="2"/>
    <n v="51"/>
    <n v="58.74"/>
    <n v="306"/>
    <n v="352.44"/>
    <x v="16"/>
    <x v="2"/>
    <x v="1"/>
  </r>
  <r>
    <d v="2024-03-26T00:00:00"/>
    <s v="P0008"/>
    <n v="14"/>
    <x v="0"/>
    <x v="0"/>
    <n v="0"/>
    <x v="20"/>
    <x v="2"/>
    <x v="2"/>
    <n v="64"/>
    <n v="73.13"/>
    <n v="896"/>
    <n v="1023.8199999999999"/>
    <x v="30"/>
    <x v="2"/>
    <x v="1"/>
  </r>
  <r>
    <d v="2024-03-26T00:00:00"/>
    <s v="P0001"/>
    <n v="5"/>
    <x v="2"/>
    <x v="0"/>
    <n v="0"/>
    <x v="17"/>
    <x v="4"/>
    <x v="2"/>
    <n v="103"/>
    <n v="121.51"/>
    <n v="515"/>
    <n v="607.55000000000007"/>
    <x v="30"/>
    <x v="2"/>
    <x v="1"/>
  </r>
  <r>
    <d v="2024-03-27T00:00:00"/>
    <s v="P0009"/>
    <n v="3"/>
    <x v="1"/>
    <x v="0"/>
    <n v="0"/>
    <x v="41"/>
    <x v="2"/>
    <x v="1"/>
    <n v="41"/>
    <n v="46.18"/>
    <n v="123"/>
    <n v="138.54"/>
    <x v="17"/>
    <x v="2"/>
    <x v="1"/>
  </r>
  <r>
    <d v="2024-03-28T00:00:00"/>
    <s v="P0028"/>
    <n v="4"/>
    <x v="0"/>
    <x v="1"/>
    <n v="0"/>
    <x v="31"/>
    <x v="1"/>
    <x v="1"/>
    <n v="58"/>
    <n v="67.400000000000006"/>
    <n v="232"/>
    <n v="269.60000000000002"/>
    <x v="18"/>
    <x v="2"/>
    <x v="1"/>
  </r>
  <r>
    <d v="2024-03-29T00:00:00"/>
    <s v="P0025"/>
    <n v="11"/>
    <x v="1"/>
    <x v="1"/>
    <n v="0"/>
    <x v="0"/>
    <x v="0"/>
    <x v="0"/>
    <n v="8"/>
    <n v="9.31"/>
    <n v="88"/>
    <n v="102.41000000000001"/>
    <x v="19"/>
    <x v="2"/>
    <x v="1"/>
  </r>
  <r>
    <d v="2024-03-30T00:00:00"/>
    <s v="P0030"/>
    <n v="6"/>
    <x v="0"/>
    <x v="0"/>
    <n v="0"/>
    <x v="16"/>
    <x v="1"/>
    <x v="2"/>
    <n v="84"/>
    <n v="97.84"/>
    <n v="504"/>
    <n v="587.04"/>
    <x v="20"/>
    <x v="2"/>
    <x v="1"/>
  </r>
  <r>
    <d v="2024-04-01T00:00:00"/>
    <s v="P0021"/>
    <n v="5"/>
    <x v="1"/>
    <x v="1"/>
    <n v="0"/>
    <x v="18"/>
    <x v="0"/>
    <x v="2"/>
    <n v="87"/>
    <n v="97.41"/>
    <n v="435"/>
    <n v="487.04999999999995"/>
    <x v="22"/>
    <x v="3"/>
    <x v="1"/>
  </r>
  <r>
    <d v="2024-04-01T00:00:00"/>
    <s v="P0044"/>
    <n v="3"/>
    <x v="2"/>
    <x v="1"/>
    <n v="0"/>
    <x v="32"/>
    <x v="3"/>
    <x v="2"/>
    <n v="79"/>
    <n v="86.44"/>
    <n v="237"/>
    <n v="259.32"/>
    <x v="22"/>
    <x v="3"/>
    <x v="1"/>
  </r>
  <r>
    <d v="2024-04-01T00:00:00"/>
    <s v="P0042"/>
    <n v="1"/>
    <x v="0"/>
    <x v="0"/>
    <n v="0.02"/>
    <x v="30"/>
    <x v="3"/>
    <x v="3"/>
    <n v="128"/>
    <n v="144.97"/>
    <n v="128"/>
    <n v="144.97"/>
    <x v="22"/>
    <x v="3"/>
    <x v="1"/>
  </r>
  <r>
    <d v="2024-04-02T00:00:00"/>
    <s v="P0025"/>
    <n v="7"/>
    <x v="0"/>
    <x v="1"/>
    <n v="0.1"/>
    <x v="0"/>
    <x v="0"/>
    <x v="0"/>
    <n v="7"/>
    <n v="7.19"/>
    <n v="49"/>
    <n v="50.330000000000005"/>
    <x v="0"/>
    <x v="3"/>
    <x v="1"/>
  </r>
  <r>
    <d v="2024-04-03T00:00:00"/>
    <s v="P0017"/>
    <n v="11"/>
    <x v="0"/>
    <x v="0"/>
    <n v="0"/>
    <x v="4"/>
    <x v="0"/>
    <x v="0"/>
    <n v="12"/>
    <n v="13.76"/>
    <n v="132"/>
    <n v="151.35999999999999"/>
    <x v="1"/>
    <x v="3"/>
    <x v="1"/>
  </r>
  <r>
    <d v="2024-04-05T00:00:00"/>
    <s v="P0003"/>
    <n v="3"/>
    <x v="0"/>
    <x v="0"/>
    <n v="0"/>
    <x v="15"/>
    <x v="4"/>
    <x v="2"/>
    <n v="76"/>
    <n v="83.05"/>
    <n v="228"/>
    <n v="249.14999999999998"/>
    <x v="23"/>
    <x v="3"/>
    <x v="1"/>
  </r>
  <r>
    <d v="2024-04-06T00:00:00"/>
    <s v="P0017"/>
    <n v="5"/>
    <x v="2"/>
    <x v="0"/>
    <n v="0"/>
    <x v="4"/>
    <x v="0"/>
    <x v="0"/>
    <n v="13"/>
    <n v="14.08"/>
    <n v="65"/>
    <n v="70.400000000000006"/>
    <x v="24"/>
    <x v="3"/>
    <x v="1"/>
  </r>
  <r>
    <d v="2024-04-07T00:00:00"/>
    <s v="P0021"/>
    <n v="14"/>
    <x v="2"/>
    <x v="1"/>
    <n v="0"/>
    <x v="18"/>
    <x v="0"/>
    <x v="2"/>
    <n v="88"/>
    <n v="96.82"/>
    <n v="1232"/>
    <n v="1355.48"/>
    <x v="3"/>
    <x v="3"/>
    <x v="1"/>
  </r>
  <r>
    <d v="2024-04-07T00:00:00"/>
    <s v="P0007"/>
    <n v="7"/>
    <x v="1"/>
    <x v="0"/>
    <n v="0"/>
    <x v="38"/>
    <x v="2"/>
    <x v="2"/>
    <n v="96"/>
    <n v="111.63"/>
    <n v="672"/>
    <n v="781.41"/>
    <x v="3"/>
    <x v="3"/>
    <x v="1"/>
  </r>
  <r>
    <d v="2024-04-08T00:00:00"/>
    <s v="P0010"/>
    <n v="3"/>
    <x v="2"/>
    <x v="1"/>
    <n v="0"/>
    <x v="26"/>
    <x v="2"/>
    <x v="2"/>
    <n v="114"/>
    <n v="133.82"/>
    <n v="342"/>
    <n v="401.46"/>
    <x v="4"/>
    <x v="3"/>
    <x v="1"/>
  </r>
  <r>
    <d v="2024-04-08T00:00:00"/>
    <s v="P0005"/>
    <n v="14"/>
    <x v="1"/>
    <x v="0"/>
    <n v="0"/>
    <x v="23"/>
    <x v="4"/>
    <x v="1"/>
    <n v="56"/>
    <n v="62.48"/>
    <n v="784"/>
    <n v="874.71999999999991"/>
    <x v="4"/>
    <x v="3"/>
    <x v="1"/>
  </r>
  <r>
    <d v="2024-04-11T00:00:00"/>
    <s v="P0039"/>
    <n v="10"/>
    <x v="0"/>
    <x v="0"/>
    <n v="0.02"/>
    <x v="27"/>
    <x v="3"/>
    <x v="1"/>
    <n v="43"/>
    <n v="46.8"/>
    <n v="430"/>
    <n v="468"/>
    <x v="25"/>
    <x v="3"/>
    <x v="1"/>
  </r>
  <r>
    <d v="2024-04-11T00:00:00"/>
    <s v="P0040"/>
    <n v="9"/>
    <x v="2"/>
    <x v="1"/>
    <n v="0"/>
    <x v="40"/>
    <x v="3"/>
    <x v="2"/>
    <n v="96"/>
    <n v="107.96"/>
    <n v="864"/>
    <n v="971.64"/>
    <x v="25"/>
    <x v="3"/>
    <x v="1"/>
  </r>
  <r>
    <d v="2024-04-11T00:00:00"/>
    <s v="P0038"/>
    <n v="9"/>
    <x v="2"/>
    <x v="0"/>
    <n v="0"/>
    <x v="34"/>
    <x v="3"/>
    <x v="2"/>
    <n v="79"/>
    <n v="88.98"/>
    <n v="711"/>
    <n v="800.82"/>
    <x v="25"/>
    <x v="3"/>
    <x v="1"/>
  </r>
  <r>
    <d v="2024-04-14T00:00:00"/>
    <s v="P0008"/>
    <n v="7"/>
    <x v="1"/>
    <x v="0"/>
    <n v="0"/>
    <x v="20"/>
    <x v="2"/>
    <x v="2"/>
    <n v="64"/>
    <n v="71.63"/>
    <n v="448"/>
    <n v="501.40999999999997"/>
    <x v="7"/>
    <x v="3"/>
    <x v="1"/>
  </r>
  <r>
    <d v="2024-04-16T00:00:00"/>
    <s v="P0014"/>
    <n v="10"/>
    <x v="0"/>
    <x v="0"/>
    <n v="0.05"/>
    <x v="2"/>
    <x v="2"/>
    <x v="2"/>
    <n v="115"/>
    <n v="124.7"/>
    <n v="1150"/>
    <n v="1247"/>
    <x v="9"/>
    <x v="3"/>
    <x v="1"/>
  </r>
  <r>
    <d v="2024-04-17T00:00:00"/>
    <s v="P0017"/>
    <n v="9"/>
    <x v="2"/>
    <x v="0"/>
    <n v="0"/>
    <x v="4"/>
    <x v="0"/>
    <x v="0"/>
    <n v="13"/>
    <n v="14.3"/>
    <n v="117"/>
    <n v="128.70000000000002"/>
    <x v="10"/>
    <x v="3"/>
    <x v="1"/>
  </r>
  <r>
    <d v="2024-04-17T00:00:00"/>
    <s v="P0010"/>
    <n v="2"/>
    <x v="0"/>
    <x v="1"/>
    <n v="0.05"/>
    <x v="26"/>
    <x v="2"/>
    <x v="2"/>
    <n v="115"/>
    <n v="120.43"/>
    <n v="230"/>
    <n v="240.86"/>
    <x v="10"/>
    <x v="3"/>
    <x v="1"/>
  </r>
  <r>
    <d v="2024-04-18T00:00:00"/>
    <s v="P0005"/>
    <n v="12"/>
    <x v="2"/>
    <x v="1"/>
    <n v="0"/>
    <x v="23"/>
    <x v="4"/>
    <x v="1"/>
    <n v="56"/>
    <n v="63.07"/>
    <n v="672"/>
    <n v="756.84"/>
    <x v="11"/>
    <x v="3"/>
    <x v="1"/>
  </r>
  <r>
    <d v="2024-04-18T00:00:00"/>
    <s v="P0031"/>
    <n v="11"/>
    <x v="2"/>
    <x v="1"/>
    <n v="0"/>
    <x v="28"/>
    <x v="1"/>
    <x v="2"/>
    <n v="96"/>
    <n v="107.9"/>
    <n v="1056"/>
    <n v="1186.9000000000001"/>
    <x v="11"/>
    <x v="3"/>
    <x v="1"/>
  </r>
  <r>
    <d v="2024-04-19T00:00:00"/>
    <s v="P0023"/>
    <n v="10"/>
    <x v="2"/>
    <x v="1"/>
    <n v="0"/>
    <x v="7"/>
    <x v="0"/>
    <x v="3"/>
    <n v="147"/>
    <n v="164.48"/>
    <n v="1470"/>
    <n v="1644.8"/>
    <x v="12"/>
    <x v="3"/>
    <x v="1"/>
  </r>
  <r>
    <d v="2024-04-19T00:00:00"/>
    <s v="P0011"/>
    <n v="4"/>
    <x v="2"/>
    <x v="0"/>
    <n v="0"/>
    <x v="3"/>
    <x v="2"/>
    <x v="2"/>
    <n v="51"/>
    <n v="59.33"/>
    <n v="204"/>
    <n v="237.32"/>
    <x v="12"/>
    <x v="3"/>
    <x v="1"/>
  </r>
  <r>
    <d v="2024-04-19T00:00:00"/>
    <s v="P0040"/>
    <n v="6"/>
    <x v="2"/>
    <x v="1"/>
    <n v="0"/>
    <x v="40"/>
    <x v="3"/>
    <x v="2"/>
    <n v="96"/>
    <n v="111.73"/>
    <n v="576"/>
    <n v="670.38"/>
    <x v="12"/>
    <x v="3"/>
    <x v="1"/>
  </r>
  <r>
    <d v="2024-04-20T00:00:00"/>
    <s v="P0035"/>
    <n v="8"/>
    <x v="2"/>
    <x v="1"/>
    <n v="0"/>
    <x v="6"/>
    <x v="1"/>
    <x v="0"/>
    <n v="5"/>
    <n v="5.76"/>
    <n v="40"/>
    <n v="46.08"/>
    <x v="13"/>
    <x v="3"/>
    <x v="1"/>
  </r>
  <r>
    <d v="2024-04-21T00:00:00"/>
    <s v="P0008"/>
    <n v="9"/>
    <x v="1"/>
    <x v="0"/>
    <n v="0"/>
    <x v="20"/>
    <x v="2"/>
    <x v="2"/>
    <n v="66"/>
    <n v="77.66"/>
    <n v="594"/>
    <n v="698.93999999999994"/>
    <x v="14"/>
    <x v="3"/>
    <x v="1"/>
  </r>
  <r>
    <d v="2024-04-22T00:00:00"/>
    <s v="P0038"/>
    <n v="1"/>
    <x v="1"/>
    <x v="1"/>
    <n v="0.02"/>
    <x v="34"/>
    <x v="3"/>
    <x v="2"/>
    <n v="79"/>
    <n v="87.29"/>
    <n v="79"/>
    <n v="87.29"/>
    <x v="28"/>
    <x v="3"/>
    <x v="1"/>
  </r>
  <r>
    <d v="2024-04-23T00:00:00"/>
    <s v="P0036"/>
    <n v="2"/>
    <x v="0"/>
    <x v="1"/>
    <n v="0"/>
    <x v="13"/>
    <x v="3"/>
    <x v="2"/>
    <n v="111"/>
    <n v="123.2"/>
    <n v="222"/>
    <n v="246.4"/>
    <x v="15"/>
    <x v="3"/>
    <x v="1"/>
  </r>
  <r>
    <d v="2024-04-23T00:00:00"/>
    <s v="P0027"/>
    <n v="3"/>
    <x v="2"/>
    <x v="1"/>
    <n v="0"/>
    <x v="1"/>
    <x v="1"/>
    <x v="1"/>
    <n v="52"/>
    <n v="57.57"/>
    <n v="156"/>
    <n v="172.71"/>
    <x v="15"/>
    <x v="3"/>
    <x v="1"/>
  </r>
  <r>
    <d v="2024-04-24T00:00:00"/>
    <s v="P0034"/>
    <n v="1"/>
    <x v="2"/>
    <x v="0"/>
    <n v="0"/>
    <x v="36"/>
    <x v="1"/>
    <x v="1"/>
    <n v="59"/>
    <n v="66.67"/>
    <n v="59"/>
    <n v="66.67"/>
    <x v="16"/>
    <x v="3"/>
    <x v="1"/>
  </r>
  <r>
    <d v="2024-04-24T00:00:00"/>
    <s v="P0038"/>
    <n v="3"/>
    <x v="1"/>
    <x v="1"/>
    <n v="0"/>
    <x v="34"/>
    <x v="3"/>
    <x v="2"/>
    <n v="76"/>
    <n v="88.51"/>
    <n v="228"/>
    <n v="265.53000000000003"/>
    <x v="16"/>
    <x v="3"/>
    <x v="1"/>
  </r>
  <r>
    <d v="2024-04-25T00:00:00"/>
    <s v="P0001"/>
    <n v="15"/>
    <x v="2"/>
    <x v="0"/>
    <n v="0"/>
    <x v="17"/>
    <x v="4"/>
    <x v="2"/>
    <n v="102"/>
    <n v="114.58"/>
    <n v="1530"/>
    <n v="1718.7"/>
    <x v="29"/>
    <x v="3"/>
    <x v="1"/>
  </r>
  <r>
    <d v="2024-04-26T00:00:00"/>
    <s v="P0027"/>
    <n v="1"/>
    <x v="2"/>
    <x v="0"/>
    <n v="0"/>
    <x v="1"/>
    <x v="1"/>
    <x v="1"/>
    <n v="50"/>
    <n v="57.01"/>
    <n v="50"/>
    <n v="57.01"/>
    <x v="30"/>
    <x v="3"/>
    <x v="1"/>
  </r>
  <r>
    <d v="2024-04-27T00:00:00"/>
    <s v="P0037"/>
    <n v="2"/>
    <x v="2"/>
    <x v="0"/>
    <n v="0"/>
    <x v="24"/>
    <x v="3"/>
    <x v="2"/>
    <n v="72"/>
    <n v="82.46"/>
    <n v="144"/>
    <n v="164.92"/>
    <x v="17"/>
    <x v="3"/>
    <x v="1"/>
  </r>
  <r>
    <d v="2024-04-27T00:00:00"/>
    <s v="P0013"/>
    <n v="3"/>
    <x v="1"/>
    <x v="0"/>
    <n v="0"/>
    <x v="43"/>
    <x v="2"/>
    <x v="2"/>
    <n v="117"/>
    <n v="127.72"/>
    <n v="351"/>
    <n v="383.15999999999997"/>
    <x v="17"/>
    <x v="3"/>
    <x v="1"/>
  </r>
  <r>
    <d v="2024-04-28T00:00:00"/>
    <s v="P0035"/>
    <n v="8"/>
    <x v="0"/>
    <x v="1"/>
    <n v="0"/>
    <x v="6"/>
    <x v="1"/>
    <x v="0"/>
    <n v="5"/>
    <n v="5.55"/>
    <n v="40"/>
    <n v="44.4"/>
    <x v="18"/>
    <x v="3"/>
    <x v="1"/>
  </r>
  <r>
    <d v="2024-04-28T00:00:00"/>
    <s v="P0024"/>
    <n v="3"/>
    <x v="2"/>
    <x v="1"/>
    <n v="0"/>
    <x v="39"/>
    <x v="0"/>
    <x v="3"/>
    <n v="155"/>
    <n v="174.24"/>
    <n v="465"/>
    <n v="522.72"/>
    <x v="18"/>
    <x v="3"/>
    <x v="1"/>
  </r>
  <r>
    <d v="2024-04-29T00:00:00"/>
    <s v="P0005"/>
    <n v="4"/>
    <x v="0"/>
    <x v="0"/>
    <n v="0"/>
    <x v="23"/>
    <x v="4"/>
    <x v="1"/>
    <n v="54"/>
    <n v="60.64"/>
    <n v="216"/>
    <n v="242.56"/>
    <x v="19"/>
    <x v="3"/>
    <x v="1"/>
  </r>
  <r>
    <d v="2024-04-29T00:00:00"/>
    <s v="P0010"/>
    <n v="7"/>
    <x v="2"/>
    <x v="0"/>
    <n v="0"/>
    <x v="26"/>
    <x v="2"/>
    <x v="2"/>
    <n v="115"/>
    <n v="127.38"/>
    <n v="805"/>
    <n v="891.66"/>
    <x v="19"/>
    <x v="3"/>
    <x v="1"/>
  </r>
  <r>
    <d v="2024-04-29T00:00:00"/>
    <s v="P0025"/>
    <n v="4"/>
    <x v="0"/>
    <x v="1"/>
    <n v="0"/>
    <x v="0"/>
    <x v="0"/>
    <x v="0"/>
    <n v="7"/>
    <n v="8.23"/>
    <n v="28"/>
    <n v="32.92"/>
    <x v="19"/>
    <x v="3"/>
    <x v="1"/>
  </r>
  <r>
    <d v="2024-05-02T00:00:00"/>
    <s v="P0011"/>
    <n v="4"/>
    <x v="1"/>
    <x v="1"/>
    <n v="0.05"/>
    <x v="3"/>
    <x v="2"/>
    <x v="2"/>
    <n v="50"/>
    <n v="52.32"/>
    <n v="200"/>
    <n v="209.28"/>
    <x v="0"/>
    <x v="4"/>
    <x v="1"/>
  </r>
  <r>
    <d v="2024-05-02T00:00:00"/>
    <s v="P0038"/>
    <n v="12"/>
    <x v="1"/>
    <x v="0"/>
    <n v="0"/>
    <x v="34"/>
    <x v="3"/>
    <x v="2"/>
    <n v="75"/>
    <n v="84.49"/>
    <n v="900"/>
    <n v="1013.8799999999999"/>
    <x v="0"/>
    <x v="4"/>
    <x v="1"/>
  </r>
  <r>
    <d v="2024-05-02T00:00:00"/>
    <s v="P0045"/>
    <n v="9"/>
    <x v="2"/>
    <x v="0"/>
    <n v="0.02"/>
    <x v="5"/>
    <x v="3"/>
    <x v="1"/>
    <n v="68"/>
    <n v="77.849999999999994"/>
    <n v="612"/>
    <n v="700.65"/>
    <x v="0"/>
    <x v="4"/>
    <x v="1"/>
  </r>
  <r>
    <d v="2024-05-03T00:00:00"/>
    <s v="P0006"/>
    <n v="14"/>
    <x v="1"/>
    <x v="1"/>
    <n v="0"/>
    <x v="9"/>
    <x v="4"/>
    <x v="2"/>
    <n v="77"/>
    <n v="87.91"/>
    <n v="1078"/>
    <n v="1230.74"/>
    <x v="1"/>
    <x v="4"/>
    <x v="1"/>
  </r>
  <r>
    <d v="2024-05-04T00:00:00"/>
    <s v="P0015"/>
    <n v="3"/>
    <x v="0"/>
    <x v="1"/>
    <n v="0.05"/>
    <x v="22"/>
    <x v="0"/>
    <x v="3"/>
    <n v="136"/>
    <n v="145.02000000000001"/>
    <n v="408"/>
    <n v="435.06000000000006"/>
    <x v="2"/>
    <x v="4"/>
    <x v="1"/>
  </r>
  <r>
    <d v="2024-05-04T00:00:00"/>
    <s v="P0031"/>
    <n v="1"/>
    <x v="2"/>
    <x v="0"/>
    <n v="0"/>
    <x v="28"/>
    <x v="1"/>
    <x v="2"/>
    <n v="98"/>
    <n v="109.83"/>
    <n v="98"/>
    <n v="109.83"/>
    <x v="2"/>
    <x v="4"/>
    <x v="1"/>
  </r>
  <r>
    <d v="2024-05-05T00:00:00"/>
    <s v="P0035"/>
    <n v="2"/>
    <x v="1"/>
    <x v="1"/>
    <n v="0"/>
    <x v="6"/>
    <x v="1"/>
    <x v="0"/>
    <n v="5"/>
    <n v="5.6"/>
    <n v="10"/>
    <n v="11.2"/>
    <x v="23"/>
    <x v="4"/>
    <x v="1"/>
  </r>
  <r>
    <d v="2024-05-07T00:00:00"/>
    <s v="P0023"/>
    <n v="4"/>
    <x v="1"/>
    <x v="1"/>
    <n v="0"/>
    <x v="7"/>
    <x v="0"/>
    <x v="3"/>
    <n v="154"/>
    <n v="169.51"/>
    <n v="616"/>
    <n v="678.04"/>
    <x v="3"/>
    <x v="4"/>
    <x v="1"/>
  </r>
  <r>
    <d v="2024-05-08T00:00:00"/>
    <s v="P0037"/>
    <n v="3"/>
    <x v="2"/>
    <x v="1"/>
    <n v="0"/>
    <x v="24"/>
    <x v="3"/>
    <x v="2"/>
    <n v="70"/>
    <n v="79.55"/>
    <n v="210"/>
    <n v="238.64999999999998"/>
    <x v="4"/>
    <x v="4"/>
    <x v="1"/>
  </r>
  <r>
    <d v="2024-05-08T00:00:00"/>
    <s v="P0045"/>
    <n v="14"/>
    <x v="1"/>
    <x v="1"/>
    <n v="0"/>
    <x v="5"/>
    <x v="3"/>
    <x v="1"/>
    <n v="67"/>
    <n v="78.53"/>
    <n v="938"/>
    <n v="1099.42"/>
    <x v="4"/>
    <x v="4"/>
    <x v="1"/>
  </r>
  <r>
    <d v="2024-05-09T00:00:00"/>
    <s v="P0008"/>
    <n v="1"/>
    <x v="1"/>
    <x v="1"/>
    <n v="0"/>
    <x v="20"/>
    <x v="2"/>
    <x v="2"/>
    <n v="65"/>
    <n v="72.260000000000005"/>
    <n v="65"/>
    <n v="72.260000000000005"/>
    <x v="5"/>
    <x v="4"/>
    <x v="1"/>
  </r>
  <r>
    <d v="2024-05-10T00:00:00"/>
    <s v="P0009"/>
    <n v="10"/>
    <x v="1"/>
    <x v="0"/>
    <n v="0"/>
    <x v="41"/>
    <x v="2"/>
    <x v="1"/>
    <n v="42"/>
    <n v="48.18"/>
    <n v="420"/>
    <n v="481.8"/>
    <x v="6"/>
    <x v="4"/>
    <x v="1"/>
  </r>
  <r>
    <d v="2024-05-11T00:00:00"/>
    <s v="P0007"/>
    <n v="15"/>
    <x v="2"/>
    <x v="1"/>
    <n v="0"/>
    <x v="38"/>
    <x v="2"/>
    <x v="2"/>
    <n v="96"/>
    <n v="108.86"/>
    <n v="1440"/>
    <n v="1632.9"/>
    <x v="25"/>
    <x v="4"/>
    <x v="1"/>
  </r>
  <r>
    <d v="2024-05-12T00:00:00"/>
    <s v="P0025"/>
    <n v="10"/>
    <x v="2"/>
    <x v="1"/>
    <n v="0"/>
    <x v="0"/>
    <x v="0"/>
    <x v="0"/>
    <n v="7"/>
    <n v="7.94"/>
    <n v="70"/>
    <n v="79.400000000000006"/>
    <x v="26"/>
    <x v="4"/>
    <x v="1"/>
  </r>
  <r>
    <d v="2024-05-14T00:00:00"/>
    <s v="P0038"/>
    <n v="13"/>
    <x v="1"/>
    <x v="0"/>
    <n v="0"/>
    <x v="34"/>
    <x v="3"/>
    <x v="2"/>
    <n v="77"/>
    <n v="84.03"/>
    <n v="1001"/>
    <n v="1092.3900000000001"/>
    <x v="7"/>
    <x v="4"/>
    <x v="1"/>
  </r>
  <r>
    <d v="2024-05-14T00:00:00"/>
    <s v="P0031"/>
    <n v="7"/>
    <x v="2"/>
    <x v="1"/>
    <n v="0"/>
    <x v="28"/>
    <x v="1"/>
    <x v="2"/>
    <n v="102"/>
    <n v="113.26"/>
    <n v="714"/>
    <n v="792.82"/>
    <x v="7"/>
    <x v="4"/>
    <x v="1"/>
  </r>
  <r>
    <d v="2024-05-15T00:00:00"/>
    <s v="P0026"/>
    <n v="2"/>
    <x v="0"/>
    <x v="1"/>
    <n v="0.1"/>
    <x v="35"/>
    <x v="1"/>
    <x v="2"/>
    <n v="59"/>
    <n v="59.13"/>
    <n v="118"/>
    <n v="118.26"/>
    <x v="8"/>
    <x v="4"/>
    <x v="1"/>
  </r>
  <r>
    <d v="2024-05-15T00:00:00"/>
    <s v="P0010"/>
    <n v="14"/>
    <x v="1"/>
    <x v="1"/>
    <n v="0"/>
    <x v="26"/>
    <x v="2"/>
    <x v="2"/>
    <n v="108"/>
    <n v="126.04"/>
    <n v="1512"/>
    <n v="1764.5600000000002"/>
    <x v="8"/>
    <x v="4"/>
    <x v="1"/>
  </r>
  <r>
    <d v="2024-05-17T00:00:00"/>
    <s v="P0005"/>
    <n v="5"/>
    <x v="1"/>
    <x v="1"/>
    <n v="0"/>
    <x v="23"/>
    <x v="4"/>
    <x v="1"/>
    <n v="55"/>
    <n v="61.17"/>
    <n v="275"/>
    <n v="305.85000000000002"/>
    <x v="10"/>
    <x v="4"/>
    <x v="1"/>
  </r>
  <r>
    <d v="2024-05-22T00:00:00"/>
    <s v="P0031"/>
    <n v="8"/>
    <x v="1"/>
    <x v="1"/>
    <n v="0"/>
    <x v="28"/>
    <x v="1"/>
    <x v="2"/>
    <n v="100"/>
    <n v="110.89"/>
    <n v="800"/>
    <n v="887.12"/>
    <x v="28"/>
    <x v="4"/>
    <x v="1"/>
  </r>
  <r>
    <d v="2024-05-24T00:00:00"/>
    <s v="P0044"/>
    <n v="2"/>
    <x v="2"/>
    <x v="1"/>
    <n v="0"/>
    <x v="32"/>
    <x v="3"/>
    <x v="2"/>
    <n v="80"/>
    <n v="89.13"/>
    <n v="160"/>
    <n v="178.26"/>
    <x v="16"/>
    <x v="4"/>
    <x v="1"/>
  </r>
  <r>
    <d v="2024-05-24T00:00:00"/>
    <s v="P0008"/>
    <n v="14"/>
    <x v="1"/>
    <x v="0"/>
    <n v="0"/>
    <x v="20"/>
    <x v="2"/>
    <x v="2"/>
    <n v="62"/>
    <n v="69.180000000000007"/>
    <n v="868"/>
    <n v="968.5200000000001"/>
    <x v="16"/>
    <x v="4"/>
    <x v="1"/>
  </r>
  <r>
    <d v="2024-05-24T00:00:00"/>
    <s v="P0009"/>
    <n v="4"/>
    <x v="0"/>
    <x v="1"/>
    <n v="0"/>
    <x v="41"/>
    <x v="2"/>
    <x v="1"/>
    <n v="41"/>
    <n v="46.78"/>
    <n v="164"/>
    <n v="187.12"/>
    <x v="16"/>
    <x v="4"/>
    <x v="1"/>
  </r>
  <r>
    <d v="2024-05-25T00:00:00"/>
    <s v="P0033"/>
    <n v="9"/>
    <x v="1"/>
    <x v="1"/>
    <n v="0"/>
    <x v="44"/>
    <x v="1"/>
    <x v="0"/>
    <n v="10"/>
    <n v="11.18"/>
    <n v="90"/>
    <n v="100.62"/>
    <x v="29"/>
    <x v="4"/>
    <x v="1"/>
  </r>
  <r>
    <d v="2024-05-26T00:00:00"/>
    <s v="P0007"/>
    <n v="13"/>
    <x v="2"/>
    <x v="0"/>
    <n v="0"/>
    <x v="38"/>
    <x v="2"/>
    <x v="2"/>
    <n v="96"/>
    <n v="108.32"/>
    <n v="1248"/>
    <n v="1408.1599999999999"/>
    <x v="30"/>
    <x v="4"/>
    <x v="1"/>
  </r>
  <r>
    <d v="2024-05-27T00:00:00"/>
    <s v="P0038"/>
    <n v="11"/>
    <x v="1"/>
    <x v="0"/>
    <n v="0"/>
    <x v="34"/>
    <x v="3"/>
    <x v="2"/>
    <n v="76"/>
    <n v="88.51"/>
    <n v="836"/>
    <n v="973.61"/>
    <x v="17"/>
    <x v="4"/>
    <x v="1"/>
  </r>
  <r>
    <d v="2024-05-28T00:00:00"/>
    <s v="P0021"/>
    <n v="4"/>
    <x v="2"/>
    <x v="1"/>
    <n v="0"/>
    <x v="18"/>
    <x v="0"/>
    <x v="2"/>
    <n v="90"/>
    <n v="105.81"/>
    <n v="360"/>
    <n v="423.24"/>
    <x v="18"/>
    <x v="4"/>
    <x v="1"/>
  </r>
  <r>
    <d v="2024-05-29T00:00:00"/>
    <s v="P0033"/>
    <n v="5"/>
    <x v="1"/>
    <x v="0"/>
    <n v="0"/>
    <x v="44"/>
    <x v="1"/>
    <x v="0"/>
    <n v="9"/>
    <n v="9.73"/>
    <n v="45"/>
    <n v="48.650000000000006"/>
    <x v="19"/>
    <x v="4"/>
    <x v="1"/>
  </r>
  <r>
    <d v="2024-05-30T00:00:00"/>
    <s v="P0030"/>
    <n v="6"/>
    <x v="0"/>
    <x v="0"/>
    <n v="0.02"/>
    <x v="16"/>
    <x v="1"/>
    <x v="2"/>
    <n v="87"/>
    <n v="93.65"/>
    <n v="522"/>
    <n v="561.90000000000009"/>
    <x v="20"/>
    <x v="4"/>
    <x v="1"/>
  </r>
  <r>
    <d v="2024-06-02T00:00:00"/>
    <s v="P0024"/>
    <n v="6"/>
    <x v="2"/>
    <x v="0"/>
    <n v="0"/>
    <x v="39"/>
    <x v="0"/>
    <x v="3"/>
    <n v="149"/>
    <n v="169.49"/>
    <n v="894"/>
    <n v="1016.94"/>
    <x v="0"/>
    <x v="5"/>
    <x v="1"/>
  </r>
  <r>
    <d v="2024-06-03T00:00:00"/>
    <s v="P0035"/>
    <n v="6"/>
    <x v="1"/>
    <x v="0"/>
    <n v="0"/>
    <x v="6"/>
    <x v="1"/>
    <x v="0"/>
    <n v="5"/>
    <n v="5.8"/>
    <n v="30"/>
    <n v="34.799999999999997"/>
    <x v="1"/>
    <x v="5"/>
    <x v="1"/>
  </r>
  <r>
    <d v="2024-06-04T00:00:00"/>
    <s v="P0022"/>
    <n v="10"/>
    <x v="2"/>
    <x v="1"/>
    <n v="0"/>
    <x v="10"/>
    <x v="0"/>
    <x v="3"/>
    <n v="119"/>
    <n v="139.63999999999999"/>
    <n v="1190"/>
    <n v="1396.3999999999999"/>
    <x v="2"/>
    <x v="5"/>
    <x v="1"/>
  </r>
  <r>
    <d v="2024-06-04T00:00:00"/>
    <s v="P0023"/>
    <n v="3"/>
    <x v="1"/>
    <x v="0"/>
    <n v="0"/>
    <x v="7"/>
    <x v="0"/>
    <x v="3"/>
    <n v="152"/>
    <n v="169.49"/>
    <n v="456"/>
    <n v="508.47"/>
    <x v="2"/>
    <x v="5"/>
    <x v="1"/>
  </r>
  <r>
    <d v="2024-06-05T00:00:00"/>
    <s v="P0012"/>
    <n v="12"/>
    <x v="0"/>
    <x v="0"/>
    <n v="0.02"/>
    <x v="14"/>
    <x v="2"/>
    <x v="1"/>
    <n v="63"/>
    <n v="66.819999999999993"/>
    <n v="756"/>
    <n v="801.83999999999992"/>
    <x v="23"/>
    <x v="5"/>
    <x v="1"/>
  </r>
  <r>
    <d v="2024-06-05T00:00:00"/>
    <s v="P0029"/>
    <n v="12"/>
    <x v="2"/>
    <x v="1"/>
    <n v="0"/>
    <x v="25"/>
    <x v="1"/>
    <x v="1"/>
    <n v="49"/>
    <n v="55.79"/>
    <n v="588"/>
    <n v="669.48"/>
    <x v="23"/>
    <x v="5"/>
    <x v="1"/>
  </r>
  <r>
    <d v="2024-06-05T00:00:00"/>
    <s v="P0030"/>
    <n v="6"/>
    <x v="2"/>
    <x v="1"/>
    <n v="0"/>
    <x v="16"/>
    <x v="1"/>
    <x v="2"/>
    <n v="86"/>
    <n v="100.73"/>
    <n v="516"/>
    <n v="604.38"/>
    <x v="23"/>
    <x v="5"/>
    <x v="1"/>
  </r>
  <r>
    <d v="2024-06-05T00:00:00"/>
    <s v="P0025"/>
    <n v="2"/>
    <x v="2"/>
    <x v="0"/>
    <n v="0"/>
    <x v="0"/>
    <x v="0"/>
    <x v="0"/>
    <n v="7"/>
    <n v="7.85"/>
    <n v="14"/>
    <n v="15.7"/>
    <x v="23"/>
    <x v="5"/>
    <x v="1"/>
  </r>
  <r>
    <d v="2024-06-06T00:00:00"/>
    <s v="P0022"/>
    <n v="3"/>
    <x v="1"/>
    <x v="1"/>
    <n v="0"/>
    <x v="10"/>
    <x v="0"/>
    <x v="3"/>
    <n v="117"/>
    <n v="132.57"/>
    <n v="351"/>
    <n v="397.71"/>
    <x v="24"/>
    <x v="5"/>
    <x v="1"/>
  </r>
  <r>
    <d v="2024-06-06T00:00:00"/>
    <s v="P0039"/>
    <n v="9"/>
    <x v="1"/>
    <x v="1"/>
    <n v="0"/>
    <x v="27"/>
    <x v="3"/>
    <x v="1"/>
    <n v="44"/>
    <n v="50.14"/>
    <n v="396"/>
    <n v="451.26"/>
    <x v="24"/>
    <x v="5"/>
    <x v="1"/>
  </r>
  <r>
    <d v="2024-06-07T00:00:00"/>
    <s v="P0021"/>
    <n v="15"/>
    <x v="2"/>
    <x v="0"/>
    <n v="0"/>
    <x v="18"/>
    <x v="0"/>
    <x v="2"/>
    <n v="91"/>
    <n v="98.3"/>
    <n v="1365"/>
    <n v="1474.5"/>
    <x v="3"/>
    <x v="5"/>
    <x v="1"/>
  </r>
  <r>
    <d v="2024-06-10T00:00:00"/>
    <s v="P0015"/>
    <n v="9"/>
    <x v="2"/>
    <x v="1"/>
    <n v="0"/>
    <x v="22"/>
    <x v="0"/>
    <x v="3"/>
    <n v="138"/>
    <n v="152.72"/>
    <n v="1242"/>
    <n v="1374.48"/>
    <x v="6"/>
    <x v="5"/>
    <x v="1"/>
  </r>
  <r>
    <d v="2024-06-11T00:00:00"/>
    <s v="P0026"/>
    <n v="13"/>
    <x v="2"/>
    <x v="1"/>
    <n v="0.02"/>
    <x v="35"/>
    <x v="1"/>
    <x v="2"/>
    <n v="61"/>
    <n v="68.69"/>
    <n v="793"/>
    <n v="892.97"/>
    <x v="25"/>
    <x v="5"/>
    <x v="1"/>
  </r>
  <r>
    <d v="2024-06-11T00:00:00"/>
    <s v="P0004"/>
    <n v="7"/>
    <x v="1"/>
    <x v="1"/>
    <n v="0"/>
    <x v="37"/>
    <x v="4"/>
    <x v="1"/>
    <n v="48"/>
    <n v="54.87"/>
    <n v="336"/>
    <n v="384.09"/>
    <x v="25"/>
    <x v="5"/>
    <x v="1"/>
  </r>
  <r>
    <d v="2024-06-11T00:00:00"/>
    <s v="P0032"/>
    <n v="14"/>
    <x v="2"/>
    <x v="0"/>
    <n v="0"/>
    <x v="33"/>
    <x v="1"/>
    <x v="2"/>
    <n v="92"/>
    <n v="103.56"/>
    <n v="1288"/>
    <n v="1449.8400000000001"/>
    <x v="25"/>
    <x v="5"/>
    <x v="1"/>
  </r>
  <r>
    <d v="2024-06-11T00:00:00"/>
    <s v="P0036"/>
    <n v="2"/>
    <x v="2"/>
    <x v="0"/>
    <n v="0"/>
    <x v="13"/>
    <x v="3"/>
    <x v="2"/>
    <n v="111"/>
    <n v="124.42"/>
    <n v="222"/>
    <n v="248.84"/>
    <x v="25"/>
    <x v="5"/>
    <x v="1"/>
  </r>
  <r>
    <d v="2024-06-12T00:00:00"/>
    <s v="P0044"/>
    <n v="1"/>
    <x v="2"/>
    <x v="1"/>
    <n v="0"/>
    <x v="32"/>
    <x v="3"/>
    <x v="2"/>
    <n v="80"/>
    <n v="91.45"/>
    <n v="80"/>
    <n v="91.45"/>
    <x v="26"/>
    <x v="5"/>
    <x v="1"/>
  </r>
  <r>
    <d v="2024-06-12T00:00:00"/>
    <s v="P0043"/>
    <n v="10"/>
    <x v="1"/>
    <x v="1"/>
    <n v="0.05"/>
    <x v="29"/>
    <x v="3"/>
    <x v="0"/>
    <n v="12"/>
    <n v="13.11"/>
    <n v="120"/>
    <n v="131.1"/>
    <x v="26"/>
    <x v="5"/>
    <x v="1"/>
  </r>
  <r>
    <d v="2024-06-14T00:00:00"/>
    <s v="P0039"/>
    <n v="9"/>
    <x v="2"/>
    <x v="1"/>
    <n v="0"/>
    <x v="27"/>
    <x v="3"/>
    <x v="1"/>
    <n v="43"/>
    <n v="50.42"/>
    <n v="387"/>
    <n v="453.78000000000003"/>
    <x v="7"/>
    <x v="5"/>
    <x v="1"/>
  </r>
  <r>
    <d v="2024-06-16T00:00:00"/>
    <s v="P0007"/>
    <n v="14"/>
    <x v="2"/>
    <x v="1"/>
    <n v="0"/>
    <x v="38"/>
    <x v="2"/>
    <x v="2"/>
    <n v="95"/>
    <n v="104.81"/>
    <n v="1330"/>
    <n v="1467.3400000000001"/>
    <x v="9"/>
    <x v="5"/>
    <x v="1"/>
  </r>
  <r>
    <d v="2024-06-18T00:00:00"/>
    <s v="P0042"/>
    <n v="9"/>
    <x v="2"/>
    <x v="1"/>
    <n v="0"/>
    <x v="30"/>
    <x v="3"/>
    <x v="3"/>
    <n v="132"/>
    <n v="152.11000000000001"/>
    <n v="1188"/>
    <n v="1368.9900000000002"/>
    <x v="11"/>
    <x v="5"/>
    <x v="1"/>
  </r>
  <r>
    <d v="2024-06-19T00:00:00"/>
    <s v="P0029"/>
    <n v="11"/>
    <x v="2"/>
    <x v="1"/>
    <n v="0"/>
    <x v="25"/>
    <x v="1"/>
    <x v="1"/>
    <n v="51"/>
    <n v="59.13"/>
    <n v="561"/>
    <n v="650.43000000000006"/>
    <x v="12"/>
    <x v="5"/>
    <x v="1"/>
  </r>
  <r>
    <d v="2024-06-21T00:00:00"/>
    <s v="P0038"/>
    <n v="2"/>
    <x v="1"/>
    <x v="0"/>
    <n v="0"/>
    <x v="34"/>
    <x v="3"/>
    <x v="2"/>
    <n v="79"/>
    <n v="91.69"/>
    <n v="158"/>
    <n v="183.38"/>
    <x v="14"/>
    <x v="5"/>
    <x v="1"/>
  </r>
  <r>
    <d v="2024-06-21T00:00:00"/>
    <s v="P0040"/>
    <n v="2"/>
    <x v="0"/>
    <x v="0"/>
    <n v="0.08"/>
    <x v="40"/>
    <x v="3"/>
    <x v="2"/>
    <n v="98"/>
    <n v="100.05"/>
    <n v="196"/>
    <n v="200.1"/>
    <x v="14"/>
    <x v="5"/>
    <x v="1"/>
  </r>
  <r>
    <d v="2024-06-21T00:00:00"/>
    <s v="P0022"/>
    <n v="5"/>
    <x v="1"/>
    <x v="1"/>
    <n v="0"/>
    <x v="10"/>
    <x v="0"/>
    <x v="3"/>
    <n v="116"/>
    <n v="133.66"/>
    <n v="580"/>
    <n v="668.3"/>
    <x v="14"/>
    <x v="5"/>
    <x v="1"/>
  </r>
  <r>
    <d v="2024-06-22T00:00:00"/>
    <s v="P0030"/>
    <n v="3"/>
    <x v="2"/>
    <x v="0"/>
    <n v="0"/>
    <x v="16"/>
    <x v="1"/>
    <x v="2"/>
    <n v="85"/>
    <n v="96.16"/>
    <n v="255"/>
    <n v="288.48"/>
    <x v="28"/>
    <x v="5"/>
    <x v="1"/>
  </r>
  <r>
    <d v="2024-06-24T00:00:00"/>
    <s v="P0021"/>
    <n v="9"/>
    <x v="2"/>
    <x v="0"/>
    <n v="0.05"/>
    <x v="18"/>
    <x v="0"/>
    <x v="2"/>
    <n v="91"/>
    <n v="99.08"/>
    <n v="819"/>
    <n v="891.72"/>
    <x v="16"/>
    <x v="5"/>
    <x v="1"/>
  </r>
  <r>
    <d v="2024-06-25T00:00:00"/>
    <s v="P0025"/>
    <n v="8"/>
    <x v="0"/>
    <x v="0"/>
    <n v="0"/>
    <x v="0"/>
    <x v="0"/>
    <x v="0"/>
    <n v="8"/>
    <n v="9.1"/>
    <n v="64"/>
    <n v="72.8"/>
    <x v="29"/>
    <x v="5"/>
    <x v="1"/>
  </r>
  <r>
    <d v="2024-06-25T00:00:00"/>
    <s v="P0032"/>
    <n v="7"/>
    <x v="2"/>
    <x v="1"/>
    <n v="0"/>
    <x v="33"/>
    <x v="1"/>
    <x v="2"/>
    <n v="98"/>
    <n v="110.65"/>
    <n v="686"/>
    <n v="774.55000000000007"/>
    <x v="29"/>
    <x v="5"/>
    <x v="1"/>
  </r>
  <r>
    <d v="2024-06-26T00:00:00"/>
    <s v="P0030"/>
    <n v="9"/>
    <x v="1"/>
    <x v="1"/>
    <n v="0"/>
    <x v="16"/>
    <x v="1"/>
    <x v="2"/>
    <n v="84"/>
    <n v="95.86"/>
    <n v="756"/>
    <n v="862.74"/>
    <x v="30"/>
    <x v="5"/>
    <x v="1"/>
  </r>
  <r>
    <d v="2024-06-26T00:00:00"/>
    <s v="P0037"/>
    <n v="11"/>
    <x v="1"/>
    <x v="1"/>
    <n v="0"/>
    <x v="24"/>
    <x v="3"/>
    <x v="2"/>
    <n v="73"/>
    <n v="85.17"/>
    <n v="803"/>
    <n v="936.87"/>
    <x v="30"/>
    <x v="5"/>
    <x v="1"/>
  </r>
  <r>
    <d v="2024-06-27T00:00:00"/>
    <s v="P0039"/>
    <n v="9"/>
    <x v="2"/>
    <x v="1"/>
    <n v="0"/>
    <x v="27"/>
    <x v="3"/>
    <x v="1"/>
    <n v="44"/>
    <n v="51.75"/>
    <n v="396"/>
    <n v="465.75"/>
    <x v="17"/>
    <x v="5"/>
    <x v="1"/>
  </r>
  <r>
    <d v="2024-06-27T00:00:00"/>
    <s v="P0014"/>
    <n v="4"/>
    <x v="2"/>
    <x v="1"/>
    <n v="0"/>
    <x v="2"/>
    <x v="2"/>
    <x v="2"/>
    <n v="123"/>
    <n v="141.87"/>
    <n v="492"/>
    <n v="567.48"/>
    <x v="17"/>
    <x v="5"/>
    <x v="1"/>
  </r>
  <r>
    <d v="2024-06-27T00:00:00"/>
    <s v="P0028"/>
    <n v="7"/>
    <x v="2"/>
    <x v="1"/>
    <n v="0.05"/>
    <x v="31"/>
    <x v="1"/>
    <x v="1"/>
    <n v="56"/>
    <n v="57.52"/>
    <n v="392"/>
    <n v="402.64000000000004"/>
    <x v="17"/>
    <x v="5"/>
    <x v="1"/>
  </r>
  <r>
    <d v="2024-06-27T00:00:00"/>
    <s v="P0011"/>
    <n v="3"/>
    <x v="0"/>
    <x v="0"/>
    <n v="0"/>
    <x v="3"/>
    <x v="2"/>
    <x v="2"/>
    <n v="49"/>
    <n v="57.42"/>
    <n v="147"/>
    <n v="172.26"/>
    <x v="17"/>
    <x v="5"/>
    <x v="1"/>
  </r>
  <r>
    <d v="2024-06-29T00:00:00"/>
    <s v="P0025"/>
    <n v="14"/>
    <x v="2"/>
    <x v="1"/>
    <n v="0"/>
    <x v="0"/>
    <x v="0"/>
    <x v="0"/>
    <n v="8"/>
    <n v="8.77"/>
    <n v="112"/>
    <n v="122.78"/>
    <x v="19"/>
    <x v="5"/>
    <x v="1"/>
  </r>
  <r>
    <d v="2024-07-02T00:00:00"/>
    <s v="P0033"/>
    <n v="3"/>
    <x v="1"/>
    <x v="0"/>
    <n v="0"/>
    <x v="44"/>
    <x v="1"/>
    <x v="0"/>
    <n v="9"/>
    <n v="10.16"/>
    <n v="27"/>
    <n v="30.48"/>
    <x v="0"/>
    <x v="6"/>
    <x v="1"/>
  </r>
  <r>
    <d v="2024-07-05T00:00:00"/>
    <s v="P0021"/>
    <n v="5"/>
    <x v="2"/>
    <x v="0"/>
    <n v="0"/>
    <x v="18"/>
    <x v="0"/>
    <x v="2"/>
    <n v="87"/>
    <n v="94.02"/>
    <n v="435"/>
    <n v="470.09999999999997"/>
    <x v="23"/>
    <x v="6"/>
    <x v="1"/>
  </r>
  <r>
    <d v="2024-07-05T00:00:00"/>
    <s v="P0040"/>
    <n v="1"/>
    <x v="2"/>
    <x v="0"/>
    <n v="0"/>
    <x v="40"/>
    <x v="3"/>
    <x v="2"/>
    <n v="95"/>
    <n v="103.08"/>
    <n v="95"/>
    <n v="103.08"/>
    <x v="23"/>
    <x v="6"/>
    <x v="1"/>
  </r>
  <r>
    <d v="2024-07-06T00:00:00"/>
    <s v="P0014"/>
    <n v="5"/>
    <x v="0"/>
    <x v="0"/>
    <n v="0"/>
    <x v="2"/>
    <x v="2"/>
    <x v="2"/>
    <n v="116"/>
    <n v="134.46"/>
    <n v="580"/>
    <n v="672.30000000000007"/>
    <x v="24"/>
    <x v="6"/>
    <x v="1"/>
  </r>
  <r>
    <d v="2024-07-06T00:00:00"/>
    <s v="P0026"/>
    <n v="1"/>
    <x v="2"/>
    <x v="0"/>
    <n v="0"/>
    <x v="35"/>
    <x v="1"/>
    <x v="2"/>
    <n v="60"/>
    <n v="67.59"/>
    <n v="60"/>
    <n v="67.59"/>
    <x v="24"/>
    <x v="6"/>
    <x v="1"/>
  </r>
  <r>
    <d v="2024-07-07T00:00:00"/>
    <s v="P0029"/>
    <n v="10"/>
    <x v="1"/>
    <x v="1"/>
    <n v="0"/>
    <x v="25"/>
    <x v="1"/>
    <x v="1"/>
    <n v="51"/>
    <n v="59.13"/>
    <n v="510"/>
    <n v="591.30000000000007"/>
    <x v="3"/>
    <x v="6"/>
    <x v="1"/>
  </r>
  <r>
    <d v="2024-07-07T00:00:00"/>
    <s v="P0045"/>
    <n v="15"/>
    <x v="2"/>
    <x v="1"/>
    <n v="0.05"/>
    <x v="5"/>
    <x v="3"/>
    <x v="1"/>
    <n v="67"/>
    <n v="69.650000000000006"/>
    <n v="1005"/>
    <n v="1044.75"/>
    <x v="3"/>
    <x v="6"/>
    <x v="1"/>
  </r>
  <r>
    <d v="2024-07-08T00:00:00"/>
    <s v="P0007"/>
    <n v="6"/>
    <x v="2"/>
    <x v="1"/>
    <n v="0"/>
    <x v="38"/>
    <x v="2"/>
    <x v="2"/>
    <n v="91"/>
    <n v="104.16"/>
    <n v="546"/>
    <n v="624.96"/>
    <x v="4"/>
    <x v="6"/>
    <x v="1"/>
  </r>
  <r>
    <d v="2024-07-08T00:00:00"/>
    <s v="P0029"/>
    <n v="2"/>
    <x v="2"/>
    <x v="1"/>
    <n v="0"/>
    <x v="25"/>
    <x v="1"/>
    <x v="1"/>
    <n v="49"/>
    <n v="57.24"/>
    <n v="98"/>
    <n v="114.48"/>
    <x v="4"/>
    <x v="6"/>
    <x v="1"/>
  </r>
  <r>
    <d v="2024-07-10T00:00:00"/>
    <s v="P0039"/>
    <n v="1"/>
    <x v="0"/>
    <x v="1"/>
    <n v="0.1"/>
    <x v="27"/>
    <x v="3"/>
    <x v="1"/>
    <n v="43"/>
    <n v="43.48"/>
    <n v="43"/>
    <n v="43.48"/>
    <x v="6"/>
    <x v="6"/>
    <x v="1"/>
  </r>
  <r>
    <d v="2024-07-10T00:00:00"/>
    <s v="P0036"/>
    <n v="8"/>
    <x v="1"/>
    <x v="1"/>
    <n v="0"/>
    <x v="13"/>
    <x v="3"/>
    <x v="2"/>
    <n v="111"/>
    <n v="120.49"/>
    <n v="888"/>
    <n v="963.92"/>
    <x v="6"/>
    <x v="6"/>
    <x v="1"/>
  </r>
  <r>
    <d v="2024-07-11T00:00:00"/>
    <s v="P0015"/>
    <n v="2"/>
    <x v="2"/>
    <x v="0"/>
    <n v="0"/>
    <x v="22"/>
    <x v="0"/>
    <x v="3"/>
    <n v="142"/>
    <n v="162.57"/>
    <n v="284"/>
    <n v="325.14"/>
    <x v="25"/>
    <x v="6"/>
    <x v="1"/>
  </r>
  <r>
    <d v="2024-07-13T00:00:00"/>
    <s v="P0029"/>
    <n v="6"/>
    <x v="1"/>
    <x v="1"/>
    <n v="0"/>
    <x v="25"/>
    <x v="1"/>
    <x v="1"/>
    <n v="49"/>
    <n v="53.09"/>
    <n v="294"/>
    <n v="318.54000000000002"/>
    <x v="27"/>
    <x v="6"/>
    <x v="1"/>
  </r>
  <r>
    <d v="2024-07-14T00:00:00"/>
    <s v="P0019"/>
    <n v="5"/>
    <x v="1"/>
    <x v="0"/>
    <n v="0"/>
    <x v="12"/>
    <x v="0"/>
    <x v="2"/>
    <n v="69"/>
    <n v="81.150000000000006"/>
    <n v="345"/>
    <n v="405.75"/>
    <x v="7"/>
    <x v="6"/>
    <x v="1"/>
  </r>
  <r>
    <d v="2024-07-14T00:00:00"/>
    <s v="P0039"/>
    <n v="14"/>
    <x v="1"/>
    <x v="0"/>
    <n v="0"/>
    <x v="27"/>
    <x v="3"/>
    <x v="1"/>
    <n v="43"/>
    <n v="47.64"/>
    <n v="602"/>
    <n v="666.96"/>
    <x v="7"/>
    <x v="6"/>
    <x v="1"/>
  </r>
  <r>
    <d v="2024-07-15T00:00:00"/>
    <s v="P0002"/>
    <n v="10"/>
    <x v="2"/>
    <x v="0"/>
    <n v="0.02"/>
    <x v="42"/>
    <x v="4"/>
    <x v="2"/>
    <n v="68"/>
    <n v="76.83"/>
    <n v="680"/>
    <n v="768.3"/>
    <x v="8"/>
    <x v="6"/>
    <x v="1"/>
  </r>
  <r>
    <d v="2024-07-17T00:00:00"/>
    <s v="P0022"/>
    <n v="9"/>
    <x v="2"/>
    <x v="0"/>
    <n v="0"/>
    <x v="10"/>
    <x v="0"/>
    <x v="3"/>
    <n v="114"/>
    <n v="123.34"/>
    <n v="1026"/>
    <n v="1110.06"/>
    <x v="10"/>
    <x v="6"/>
    <x v="1"/>
  </r>
  <r>
    <d v="2024-07-18T00:00:00"/>
    <s v="P0045"/>
    <n v="3"/>
    <x v="0"/>
    <x v="0"/>
    <n v="0"/>
    <x v="5"/>
    <x v="3"/>
    <x v="1"/>
    <n v="68"/>
    <n v="77.03"/>
    <n v="204"/>
    <n v="231.09"/>
    <x v="11"/>
    <x v="6"/>
    <x v="1"/>
  </r>
  <r>
    <d v="2024-07-18T00:00:00"/>
    <s v="P0012"/>
    <n v="3"/>
    <x v="1"/>
    <x v="1"/>
    <n v="0"/>
    <x v="14"/>
    <x v="2"/>
    <x v="1"/>
    <n v="62"/>
    <n v="68.61"/>
    <n v="186"/>
    <n v="205.82999999999998"/>
    <x v="11"/>
    <x v="6"/>
    <x v="1"/>
  </r>
  <r>
    <d v="2024-07-19T00:00:00"/>
    <s v="P0017"/>
    <n v="3"/>
    <x v="1"/>
    <x v="0"/>
    <n v="0"/>
    <x v="4"/>
    <x v="0"/>
    <x v="0"/>
    <n v="13"/>
    <n v="14.19"/>
    <n v="39"/>
    <n v="42.57"/>
    <x v="12"/>
    <x v="6"/>
    <x v="1"/>
  </r>
  <r>
    <d v="2024-07-20T00:00:00"/>
    <s v="P0011"/>
    <n v="3"/>
    <x v="2"/>
    <x v="1"/>
    <n v="0"/>
    <x v="3"/>
    <x v="2"/>
    <x v="2"/>
    <n v="49"/>
    <n v="56.01"/>
    <n v="147"/>
    <n v="168.03"/>
    <x v="13"/>
    <x v="6"/>
    <x v="1"/>
  </r>
  <r>
    <d v="2024-07-22T00:00:00"/>
    <s v="P0005"/>
    <n v="10"/>
    <x v="1"/>
    <x v="0"/>
    <n v="0"/>
    <x v="23"/>
    <x v="4"/>
    <x v="1"/>
    <n v="55"/>
    <n v="61.73"/>
    <n v="550"/>
    <n v="617.29999999999995"/>
    <x v="28"/>
    <x v="6"/>
    <x v="1"/>
  </r>
  <r>
    <d v="2024-07-23T00:00:00"/>
    <s v="P0042"/>
    <n v="12"/>
    <x v="2"/>
    <x v="1"/>
    <n v="0"/>
    <x v="30"/>
    <x v="3"/>
    <x v="3"/>
    <n v="126"/>
    <n v="136.33000000000001"/>
    <n v="1512"/>
    <n v="1635.96"/>
    <x v="15"/>
    <x v="6"/>
    <x v="1"/>
  </r>
  <r>
    <d v="2024-07-24T00:00:00"/>
    <s v="P0039"/>
    <n v="6"/>
    <x v="1"/>
    <x v="0"/>
    <n v="0"/>
    <x v="27"/>
    <x v="3"/>
    <x v="1"/>
    <n v="43"/>
    <n v="47.25"/>
    <n v="258"/>
    <n v="283.5"/>
    <x v="16"/>
    <x v="6"/>
    <x v="1"/>
  </r>
  <r>
    <d v="2024-07-25T00:00:00"/>
    <s v="P0043"/>
    <n v="5"/>
    <x v="1"/>
    <x v="0"/>
    <n v="0"/>
    <x v="29"/>
    <x v="3"/>
    <x v="0"/>
    <n v="12"/>
    <n v="14.04"/>
    <n v="60"/>
    <n v="70.199999999999989"/>
    <x v="29"/>
    <x v="6"/>
    <x v="1"/>
  </r>
  <r>
    <d v="2024-07-30T00:00:00"/>
    <s v="P0018"/>
    <n v="3"/>
    <x v="1"/>
    <x v="1"/>
    <n v="0.02"/>
    <x v="11"/>
    <x v="0"/>
    <x v="0"/>
    <n v="8"/>
    <n v="9.1999999999999993"/>
    <n v="24"/>
    <n v="27.599999999999998"/>
    <x v="20"/>
    <x v="6"/>
    <x v="1"/>
  </r>
  <r>
    <d v="2024-07-30T00:00:00"/>
    <s v="P0001"/>
    <n v="6"/>
    <x v="1"/>
    <x v="0"/>
    <n v="0"/>
    <x v="17"/>
    <x v="4"/>
    <x v="2"/>
    <n v="104"/>
    <n v="115.67"/>
    <n v="624"/>
    <n v="694.02"/>
    <x v="20"/>
    <x v="6"/>
    <x v="1"/>
  </r>
  <r>
    <d v="2024-08-01T00:00:00"/>
    <s v="P0027"/>
    <n v="4"/>
    <x v="2"/>
    <x v="0"/>
    <n v="0"/>
    <x v="1"/>
    <x v="1"/>
    <x v="1"/>
    <n v="52"/>
    <n v="59.18"/>
    <n v="208"/>
    <n v="236.72"/>
    <x v="22"/>
    <x v="7"/>
    <x v="1"/>
  </r>
  <r>
    <d v="2024-08-04T00:00:00"/>
    <s v="P0005"/>
    <n v="11"/>
    <x v="2"/>
    <x v="0"/>
    <n v="0"/>
    <x v="23"/>
    <x v="4"/>
    <x v="1"/>
    <n v="56"/>
    <n v="63.01"/>
    <n v="616"/>
    <n v="693.11"/>
    <x v="2"/>
    <x v="7"/>
    <x v="1"/>
  </r>
  <r>
    <d v="2024-08-04T00:00:00"/>
    <s v="P0027"/>
    <n v="2"/>
    <x v="2"/>
    <x v="1"/>
    <n v="0"/>
    <x v="1"/>
    <x v="1"/>
    <x v="1"/>
    <n v="50"/>
    <n v="58.17"/>
    <n v="100"/>
    <n v="116.34"/>
    <x v="2"/>
    <x v="7"/>
    <x v="1"/>
  </r>
  <r>
    <d v="2024-08-05T00:00:00"/>
    <s v="P0033"/>
    <n v="1"/>
    <x v="2"/>
    <x v="1"/>
    <n v="0"/>
    <x v="44"/>
    <x v="1"/>
    <x v="0"/>
    <n v="10"/>
    <n v="10.86"/>
    <n v="10"/>
    <n v="10.86"/>
    <x v="23"/>
    <x v="7"/>
    <x v="1"/>
  </r>
  <r>
    <d v="2024-08-05T00:00:00"/>
    <s v="P0031"/>
    <n v="11"/>
    <x v="2"/>
    <x v="1"/>
    <n v="0"/>
    <x v="28"/>
    <x v="1"/>
    <x v="2"/>
    <n v="101"/>
    <n v="115.76"/>
    <n v="1111"/>
    <n v="1273.3600000000001"/>
    <x v="23"/>
    <x v="7"/>
    <x v="1"/>
  </r>
  <r>
    <d v="2024-08-05T00:00:00"/>
    <s v="P0018"/>
    <n v="12"/>
    <x v="2"/>
    <x v="0"/>
    <n v="0"/>
    <x v="11"/>
    <x v="0"/>
    <x v="0"/>
    <n v="8"/>
    <n v="8.89"/>
    <n v="96"/>
    <n v="106.68"/>
    <x v="23"/>
    <x v="7"/>
    <x v="1"/>
  </r>
  <r>
    <d v="2024-08-07T00:00:00"/>
    <s v="P0031"/>
    <n v="5"/>
    <x v="1"/>
    <x v="0"/>
    <n v="0"/>
    <x v="28"/>
    <x v="1"/>
    <x v="2"/>
    <n v="97"/>
    <n v="106.61"/>
    <n v="485"/>
    <n v="533.04999999999995"/>
    <x v="3"/>
    <x v="7"/>
    <x v="1"/>
  </r>
  <r>
    <d v="2024-08-08T00:00:00"/>
    <s v="P0032"/>
    <n v="1"/>
    <x v="1"/>
    <x v="1"/>
    <n v="0"/>
    <x v="33"/>
    <x v="1"/>
    <x v="2"/>
    <n v="92"/>
    <n v="101.31"/>
    <n v="92"/>
    <n v="101.31"/>
    <x v="4"/>
    <x v="7"/>
    <x v="1"/>
  </r>
  <r>
    <d v="2024-08-08T00:00:00"/>
    <s v="P0033"/>
    <n v="1"/>
    <x v="2"/>
    <x v="1"/>
    <n v="0"/>
    <x v="44"/>
    <x v="1"/>
    <x v="0"/>
    <n v="10"/>
    <n v="11.68"/>
    <n v="10"/>
    <n v="11.68"/>
    <x v="4"/>
    <x v="7"/>
    <x v="1"/>
  </r>
  <r>
    <d v="2024-08-08T00:00:00"/>
    <s v="P0039"/>
    <n v="8"/>
    <x v="2"/>
    <x v="0"/>
    <n v="0"/>
    <x v="27"/>
    <x v="3"/>
    <x v="1"/>
    <n v="44"/>
    <n v="50.77"/>
    <n v="352"/>
    <n v="406.16"/>
    <x v="4"/>
    <x v="7"/>
    <x v="1"/>
  </r>
  <r>
    <d v="2024-08-09T00:00:00"/>
    <s v="P0027"/>
    <n v="1"/>
    <x v="0"/>
    <x v="0"/>
    <n v="0.02"/>
    <x v="1"/>
    <x v="1"/>
    <x v="1"/>
    <n v="52"/>
    <n v="57.98"/>
    <n v="52"/>
    <n v="57.98"/>
    <x v="5"/>
    <x v="7"/>
    <x v="1"/>
  </r>
  <r>
    <d v="2024-08-10T00:00:00"/>
    <s v="P0030"/>
    <n v="2"/>
    <x v="1"/>
    <x v="0"/>
    <n v="0"/>
    <x v="16"/>
    <x v="1"/>
    <x v="2"/>
    <n v="86"/>
    <n v="97.36"/>
    <n v="172"/>
    <n v="194.72"/>
    <x v="6"/>
    <x v="7"/>
    <x v="1"/>
  </r>
  <r>
    <d v="2024-08-10T00:00:00"/>
    <s v="P0045"/>
    <n v="5"/>
    <x v="0"/>
    <x v="1"/>
    <n v="0"/>
    <x v="5"/>
    <x v="3"/>
    <x v="1"/>
    <n v="67"/>
    <n v="76.58"/>
    <n v="335"/>
    <n v="382.9"/>
    <x v="6"/>
    <x v="7"/>
    <x v="1"/>
  </r>
  <r>
    <d v="2024-08-13T00:00:00"/>
    <s v="P0039"/>
    <n v="12"/>
    <x v="0"/>
    <x v="1"/>
    <n v="0"/>
    <x v="27"/>
    <x v="3"/>
    <x v="1"/>
    <n v="44"/>
    <n v="50.62"/>
    <n v="528"/>
    <n v="607.43999999999994"/>
    <x v="27"/>
    <x v="7"/>
    <x v="1"/>
  </r>
  <r>
    <d v="2024-08-13T00:00:00"/>
    <s v="P0011"/>
    <n v="7"/>
    <x v="2"/>
    <x v="1"/>
    <n v="0"/>
    <x v="3"/>
    <x v="2"/>
    <x v="2"/>
    <n v="49"/>
    <n v="54.92"/>
    <n v="343"/>
    <n v="384.44"/>
    <x v="27"/>
    <x v="7"/>
    <x v="1"/>
  </r>
  <r>
    <d v="2024-08-14T00:00:00"/>
    <s v="P0028"/>
    <n v="14"/>
    <x v="2"/>
    <x v="0"/>
    <n v="0"/>
    <x v="31"/>
    <x v="1"/>
    <x v="1"/>
    <n v="57"/>
    <n v="62.51"/>
    <n v="798"/>
    <n v="875.14"/>
    <x v="7"/>
    <x v="7"/>
    <x v="1"/>
  </r>
  <r>
    <d v="2024-08-14T00:00:00"/>
    <s v="P0022"/>
    <n v="1"/>
    <x v="2"/>
    <x v="1"/>
    <n v="0"/>
    <x v="10"/>
    <x v="0"/>
    <x v="3"/>
    <n v="119"/>
    <n v="135.41"/>
    <n v="119"/>
    <n v="135.41"/>
    <x v="7"/>
    <x v="7"/>
    <x v="1"/>
  </r>
  <r>
    <d v="2024-08-15T00:00:00"/>
    <s v="P0039"/>
    <n v="14"/>
    <x v="1"/>
    <x v="0"/>
    <n v="0"/>
    <x v="27"/>
    <x v="3"/>
    <x v="1"/>
    <n v="44"/>
    <n v="51.88"/>
    <n v="616"/>
    <n v="726.32"/>
    <x v="8"/>
    <x v="7"/>
    <x v="1"/>
  </r>
  <r>
    <d v="2024-08-15T00:00:00"/>
    <s v="P0019"/>
    <n v="9"/>
    <x v="2"/>
    <x v="0"/>
    <n v="0"/>
    <x v="12"/>
    <x v="0"/>
    <x v="2"/>
    <n v="70"/>
    <n v="76.58"/>
    <n v="630"/>
    <n v="689.22"/>
    <x v="8"/>
    <x v="7"/>
    <x v="1"/>
  </r>
  <r>
    <d v="2024-08-16T00:00:00"/>
    <s v="P0025"/>
    <n v="3"/>
    <x v="0"/>
    <x v="1"/>
    <n v="0"/>
    <x v="0"/>
    <x v="0"/>
    <x v="0"/>
    <n v="7"/>
    <n v="7.68"/>
    <n v="21"/>
    <n v="23.04"/>
    <x v="9"/>
    <x v="7"/>
    <x v="1"/>
  </r>
  <r>
    <d v="2024-08-16T00:00:00"/>
    <s v="P0005"/>
    <n v="12"/>
    <x v="0"/>
    <x v="1"/>
    <n v="0.08"/>
    <x v="23"/>
    <x v="4"/>
    <x v="1"/>
    <n v="55"/>
    <n v="55.67"/>
    <n v="660"/>
    <n v="668.04"/>
    <x v="9"/>
    <x v="7"/>
    <x v="1"/>
  </r>
  <r>
    <d v="2024-08-16T00:00:00"/>
    <s v="P0034"/>
    <n v="11"/>
    <x v="2"/>
    <x v="0"/>
    <n v="0"/>
    <x v="36"/>
    <x v="1"/>
    <x v="1"/>
    <n v="59"/>
    <n v="69.069999999999993"/>
    <n v="649"/>
    <n v="759.77"/>
    <x v="9"/>
    <x v="7"/>
    <x v="1"/>
  </r>
  <r>
    <d v="2024-08-18T00:00:00"/>
    <s v="P0035"/>
    <n v="14"/>
    <x v="2"/>
    <x v="0"/>
    <n v="0"/>
    <x v="6"/>
    <x v="1"/>
    <x v="0"/>
    <n v="5"/>
    <n v="5.71"/>
    <n v="70"/>
    <n v="79.94"/>
    <x v="11"/>
    <x v="7"/>
    <x v="1"/>
  </r>
  <r>
    <d v="2024-08-20T00:00:00"/>
    <s v="P0010"/>
    <n v="14"/>
    <x v="0"/>
    <x v="0"/>
    <n v="0.02"/>
    <x v="26"/>
    <x v="2"/>
    <x v="2"/>
    <n v="111"/>
    <n v="127"/>
    <n v="1554"/>
    <n v="1778"/>
    <x v="13"/>
    <x v="7"/>
    <x v="1"/>
  </r>
  <r>
    <d v="2024-08-20T00:00:00"/>
    <s v="P0003"/>
    <n v="4"/>
    <x v="2"/>
    <x v="1"/>
    <n v="0"/>
    <x v="15"/>
    <x v="4"/>
    <x v="2"/>
    <n v="78"/>
    <n v="89.48"/>
    <n v="312"/>
    <n v="357.92"/>
    <x v="13"/>
    <x v="7"/>
    <x v="1"/>
  </r>
  <r>
    <d v="2024-08-21T00:00:00"/>
    <s v="P0015"/>
    <n v="7"/>
    <x v="2"/>
    <x v="0"/>
    <n v="0"/>
    <x v="22"/>
    <x v="0"/>
    <x v="3"/>
    <n v="135"/>
    <n v="148.03"/>
    <n v="945"/>
    <n v="1036.21"/>
    <x v="14"/>
    <x v="7"/>
    <x v="1"/>
  </r>
  <r>
    <d v="2024-08-22T00:00:00"/>
    <s v="P0019"/>
    <n v="1"/>
    <x v="0"/>
    <x v="0"/>
    <n v="0.02"/>
    <x v="12"/>
    <x v="0"/>
    <x v="2"/>
    <n v="70"/>
    <n v="75.92"/>
    <n v="70"/>
    <n v="75.92"/>
    <x v="28"/>
    <x v="7"/>
    <x v="1"/>
  </r>
  <r>
    <d v="2024-08-23T00:00:00"/>
    <s v="P0007"/>
    <n v="2"/>
    <x v="1"/>
    <x v="0"/>
    <n v="0"/>
    <x v="38"/>
    <x v="2"/>
    <x v="2"/>
    <n v="94"/>
    <n v="102.72"/>
    <n v="188"/>
    <n v="205.44"/>
    <x v="15"/>
    <x v="7"/>
    <x v="1"/>
  </r>
  <r>
    <d v="2024-08-23T00:00:00"/>
    <s v="P0007"/>
    <n v="7"/>
    <x v="1"/>
    <x v="0"/>
    <n v="0"/>
    <x v="38"/>
    <x v="2"/>
    <x v="2"/>
    <n v="91"/>
    <n v="105.8"/>
    <n v="637"/>
    <n v="740.6"/>
    <x v="15"/>
    <x v="7"/>
    <x v="1"/>
  </r>
  <r>
    <d v="2024-08-24T00:00:00"/>
    <s v="P0019"/>
    <n v="9"/>
    <x v="2"/>
    <x v="1"/>
    <n v="0"/>
    <x v="12"/>
    <x v="0"/>
    <x v="2"/>
    <n v="73"/>
    <n v="79.84"/>
    <n v="657"/>
    <n v="718.56000000000006"/>
    <x v="16"/>
    <x v="7"/>
    <x v="1"/>
  </r>
  <r>
    <d v="2024-08-25T00:00:00"/>
    <s v="P0012"/>
    <n v="11"/>
    <x v="1"/>
    <x v="1"/>
    <n v="0"/>
    <x v="14"/>
    <x v="2"/>
    <x v="1"/>
    <n v="61"/>
    <n v="70.08"/>
    <n v="671"/>
    <n v="770.88"/>
    <x v="29"/>
    <x v="7"/>
    <x v="1"/>
  </r>
  <r>
    <d v="2024-08-25T00:00:00"/>
    <s v="P0009"/>
    <n v="6"/>
    <x v="0"/>
    <x v="1"/>
    <n v="0"/>
    <x v="41"/>
    <x v="2"/>
    <x v="1"/>
    <n v="43"/>
    <n v="49.73"/>
    <n v="258"/>
    <n v="298.38"/>
    <x v="29"/>
    <x v="7"/>
    <x v="1"/>
  </r>
  <r>
    <d v="2024-08-25T00:00:00"/>
    <s v="P0034"/>
    <n v="1"/>
    <x v="2"/>
    <x v="1"/>
    <n v="0"/>
    <x v="36"/>
    <x v="1"/>
    <x v="1"/>
    <n v="58"/>
    <n v="66.12"/>
    <n v="58"/>
    <n v="66.12"/>
    <x v="29"/>
    <x v="7"/>
    <x v="1"/>
  </r>
  <r>
    <d v="2024-08-26T00:00:00"/>
    <s v="P0025"/>
    <n v="1"/>
    <x v="2"/>
    <x v="1"/>
    <n v="0"/>
    <x v="0"/>
    <x v="0"/>
    <x v="0"/>
    <n v="7"/>
    <n v="8.0399999999999991"/>
    <n v="7"/>
    <n v="8.0399999999999991"/>
    <x v="30"/>
    <x v="7"/>
    <x v="1"/>
  </r>
  <r>
    <d v="2024-08-26T00:00:00"/>
    <s v="P0037"/>
    <n v="9"/>
    <x v="1"/>
    <x v="1"/>
    <n v="0"/>
    <x v="24"/>
    <x v="3"/>
    <x v="2"/>
    <n v="69"/>
    <n v="77.680000000000007"/>
    <n v="621"/>
    <n v="699.12000000000012"/>
    <x v="30"/>
    <x v="7"/>
    <x v="1"/>
  </r>
  <r>
    <d v="2024-08-26T00:00:00"/>
    <s v="P0002"/>
    <n v="12"/>
    <x v="2"/>
    <x v="0"/>
    <n v="0"/>
    <x v="42"/>
    <x v="4"/>
    <x v="2"/>
    <n v="70"/>
    <n v="78.12"/>
    <n v="840"/>
    <n v="937.44"/>
    <x v="30"/>
    <x v="7"/>
    <x v="1"/>
  </r>
  <r>
    <d v="2024-08-27T00:00:00"/>
    <s v="P0038"/>
    <n v="4"/>
    <x v="2"/>
    <x v="0"/>
    <n v="0.05"/>
    <x v="34"/>
    <x v="3"/>
    <x v="2"/>
    <n v="75"/>
    <n v="80.89"/>
    <n v="300"/>
    <n v="323.56"/>
    <x v="17"/>
    <x v="7"/>
    <x v="1"/>
  </r>
  <r>
    <d v="2024-08-29T00:00:00"/>
    <s v="P0025"/>
    <n v="6"/>
    <x v="0"/>
    <x v="0"/>
    <n v="0.02"/>
    <x v="0"/>
    <x v="0"/>
    <x v="0"/>
    <n v="7"/>
    <n v="7.67"/>
    <n v="42"/>
    <n v="46.019999999999996"/>
    <x v="19"/>
    <x v="7"/>
    <x v="1"/>
  </r>
  <r>
    <d v="2024-08-29T00:00:00"/>
    <s v="P0041"/>
    <n v="4"/>
    <x v="1"/>
    <x v="1"/>
    <n v="0"/>
    <x v="8"/>
    <x v="3"/>
    <x v="3"/>
    <n v="102"/>
    <n v="114.74"/>
    <n v="408"/>
    <n v="458.96"/>
    <x v="19"/>
    <x v="7"/>
    <x v="1"/>
  </r>
  <r>
    <d v="2024-08-30T00:00:00"/>
    <s v="P0040"/>
    <n v="8"/>
    <x v="2"/>
    <x v="0"/>
    <n v="0.05"/>
    <x v="40"/>
    <x v="3"/>
    <x v="2"/>
    <n v="93"/>
    <n v="103.55"/>
    <n v="744"/>
    <n v="828.4"/>
    <x v="20"/>
    <x v="7"/>
    <x v="1"/>
  </r>
  <r>
    <d v="2024-08-31T00:00:00"/>
    <s v="P0001"/>
    <n v="2"/>
    <x v="2"/>
    <x v="1"/>
    <n v="0.05"/>
    <x v="17"/>
    <x v="4"/>
    <x v="2"/>
    <n v="101"/>
    <n v="110.39"/>
    <n v="202"/>
    <n v="220.78"/>
    <x v="21"/>
    <x v="7"/>
    <x v="1"/>
  </r>
  <r>
    <d v="2024-08-31T00:00:00"/>
    <s v="P0036"/>
    <n v="15"/>
    <x v="0"/>
    <x v="0"/>
    <n v="0"/>
    <x v="13"/>
    <x v="3"/>
    <x v="2"/>
    <n v="111"/>
    <n v="123.48"/>
    <n v="1665"/>
    <n v="1852.2"/>
    <x v="21"/>
    <x v="7"/>
    <x v="1"/>
  </r>
  <r>
    <d v="2024-08-31T00:00:00"/>
    <s v="P0005"/>
    <n v="7"/>
    <x v="2"/>
    <x v="1"/>
    <n v="0"/>
    <x v="23"/>
    <x v="4"/>
    <x v="1"/>
    <n v="56"/>
    <n v="65.42"/>
    <n v="392"/>
    <n v="457.94"/>
    <x v="21"/>
    <x v="7"/>
    <x v="1"/>
  </r>
  <r>
    <d v="2024-08-31T00:00:00"/>
    <s v="P0033"/>
    <n v="1"/>
    <x v="1"/>
    <x v="1"/>
    <n v="0"/>
    <x v="44"/>
    <x v="1"/>
    <x v="0"/>
    <n v="9"/>
    <n v="10.039999999999999"/>
    <n v="9"/>
    <n v="10.039999999999999"/>
    <x v="21"/>
    <x v="7"/>
    <x v="1"/>
  </r>
  <r>
    <d v="2024-09-01T00:00:00"/>
    <s v="P0011"/>
    <n v="13"/>
    <x v="1"/>
    <x v="1"/>
    <n v="0"/>
    <x v="3"/>
    <x v="2"/>
    <x v="2"/>
    <n v="51"/>
    <n v="56.57"/>
    <n v="663"/>
    <n v="735.41"/>
    <x v="22"/>
    <x v="8"/>
    <x v="1"/>
  </r>
  <r>
    <d v="2024-09-01T00:00:00"/>
    <s v="P0020"/>
    <n v="13"/>
    <x v="2"/>
    <x v="0"/>
    <n v="0"/>
    <x v="21"/>
    <x v="0"/>
    <x v="1"/>
    <n v="63"/>
    <n v="68.63"/>
    <n v="819"/>
    <n v="892.18999999999994"/>
    <x v="22"/>
    <x v="8"/>
    <x v="1"/>
  </r>
  <r>
    <d v="2024-09-02T00:00:00"/>
    <s v="P0041"/>
    <n v="5"/>
    <x v="1"/>
    <x v="1"/>
    <n v="0"/>
    <x v="8"/>
    <x v="3"/>
    <x v="3"/>
    <n v="108"/>
    <n v="121.55"/>
    <n v="540"/>
    <n v="607.75"/>
    <x v="0"/>
    <x v="8"/>
    <x v="1"/>
  </r>
  <r>
    <d v="2024-09-04T00:00:00"/>
    <s v="P0025"/>
    <n v="1"/>
    <x v="2"/>
    <x v="0"/>
    <n v="0"/>
    <x v="0"/>
    <x v="0"/>
    <x v="0"/>
    <n v="8"/>
    <n v="9.18"/>
    <n v="8"/>
    <n v="9.18"/>
    <x v="2"/>
    <x v="8"/>
    <x v="1"/>
  </r>
  <r>
    <d v="2024-09-05T00:00:00"/>
    <s v="P0024"/>
    <n v="1"/>
    <x v="0"/>
    <x v="1"/>
    <n v="0"/>
    <x v="39"/>
    <x v="0"/>
    <x v="3"/>
    <n v="156"/>
    <n v="182.47"/>
    <n v="156"/>
    <n v="182.47"/>
    <x v="23"/>
    <x v="8"/>
    <x v="1"/>
  </r>
  <r>
    <d v="2024-09-05T00:00:00"/>
    <s v="P0003"/>
    <n v="4"/>
    <x v="0"/>
    <x v="0"/>
    <n v="0.05"/>
    <x v="15"/>
    <x v="4"/>
    <x v="2"/>
    <n v="73"/>
    <n v="78.180000000000007"/>
    <n v="292"/>
    <n v="312.72000000000003"/>
    <x v="23"/>
    <x v="8"/>
    <x v="1"/>
  </r>
  <r>
    <d v="2024-09-06T00:00:00"/>
    <s v="P0033"/>
    <n v="12"/>
    <x v="2"/>
    <x v="0"/>
    <n v="0"/>
    <x v="44"/>
    <x v="1"/>
    <x v="0"/>
    <n v="10"/>
    <n v="10.87"/>
    <n v="120"/>
    <n v="130.44"/>
    <x v="24"/>
    <x v="8"/>
    <x v="1"/>
  </r>
  <r>
    <d v="2024-09-07T00:00:00"/>
    <s v="P0001"/>
    <n v="5"/>
    <x v="2"/>
    <x v="1"/>
    <n v="0.02"/>
    <x v="17"/>
    <x v="4"/>
    <x v="2"/>
    <n v="108"/>
    <n v="119.98"/>
    <n v="540"/>
    <n v="599.9"/>
    <x v="3"/>
    <x v="8"/>
    <x v="1"/>
  </r>
  <r>
    <d v="2024-09-09T00:00:00"/>
    <s v="P0038"/>
    <n v="5"/>
    <x v="1"/>
    <x v="1"/>
    <n v="0"/>
    <x v="34"/>
    <x v="3"/>
    <x v="2"/>
    <n v="76"/>
    <n v="84.68"/>
    <n v="380"/>
    <n v="423.40000000000003"/>
    <x v="5"/>
    <x v="8"/>
    <x v="1"/>
  </r>
  <r>
    <d v="2024-09-10T00:00:00"/>
    <s v="P0003"/>
    <n v="7"/>
    <x v="1"/>
    <x v="0"/>
    <n v="0"/>
    <x v="15"/>
    <x v="4"/>
    <x v="2"/>
    <n v="76"/>
    <n v="88.09"/>
    <n v="532"/>
    <n v="616.63"/>
    <x v="6"/>
    <x v="8"/>
    <x v="1"/>
  </r>
  <r>
    <d v="2024-09-10T00:00:00"/>
    <s v="P0034"/>
    <n v="8"/>
    <x v="1"/>
    <x v="1"/>
    <n v="0"/>
    <x v="36"/>
    <x v="1"/>
    <x v="1"/>
    <n v="57"/>
    <n v="66.5"/>
    <n v="456"/>
    <n v="532"/>
    <x v="6"/>
    <x v="8"/>
    <x v="1"/>
  </r>
  <r>
    <d v="2024-09-11T00:00:00"/>
    <s v="P0032"/>
    <n v="6"/>
    <x v="2"/>
    <x v="0"/>
    <n v="0"/>
    <x v="33"/>
    <x v="1"/>
    <x v="2"/>
    <n v="94"/>
    <n v="101.76"/>
    <n v="564"/>
    <n v="610.56000000000006"/>
    <x v="25"/>
    <x v="8"/>
    <x v="1"/>
  </r>
  <r>
    <d v="2024-09-12T00:00:00"/>
    <s v="P0038"/>
    <n v="10"/>
    <x v="1"/>
    <x v="1"/>
    <n v="0"/>
    <x v="34"/>
    <x v="3"/>
    <x v="2"/>
    <n v="78"/>
    <n v="86.8"/>
    <n v="780"/>
    <n v="868"/>
    <x v="26"/>
    <x v="8"/>
    <x v="1"/>
  </r>
  <r>
    <d v="2024-09-13T00:00:00"/>
    <s v="P0040"/>
    <n v="1"/>
    <x v="1"/>
    <x v="0"/>
    <n v="0"/>
    <x v="40"/>
    <x v="3"/>
    <x v="2"/>
    <n v="97"/>
    <n v="108.31"/>
    <n v="97"/>
    <n v="108.31"/>
    <x v="27"/>
    <x v="8"/>
    <x v="1"/>
  </r>
  <r>
    <d v="2024-09-13T00:00:00"/>
    <s v="P0006"/>
    <n v="1"/>
    <x v="2"/>
    <x v="1"/>
    <n v="0"/>
    <x v="9"/>
    <x v="4"/>
    <x v="2"/>
    <n v="82"/>
    <n v="89.9"/>
    <n v="82"/>
    <n v="89.9"/>
    <x v="27"/>
    <x v="8"/>
    <x v="1"/>
  </r>
  <r>
    <d v="2024-09-15T00:00:00"/>
    <s v="P0036"/>
    <n v="8"/>
    <x v="2"/>
    <x v="0"/>
    <n v="0"/>
    <x v="13"/>
    <x v="3"/>
    <x v="2"/>
    <n v="107"/>
    <n v="124.38"/>
    <n v="856"/>
    <n v="995.04"/>
    <x v="8"/>
    <x v="8"/>
    <x v="1"/>
  </r>
  <r>
    <d v="2024-09-16T00:00:00"/>
    <s v="P0015"/>
    <n v="8"/>
    <x v="1"/>
    <x v="1"/>
    <n v="0.02"/>
    <x v="22"/>
    <x v="0"/>
    <x v="3"/>
    <n v="135"/>
    <n v="149.06"/>
    <n v="1080"/>
    <n v="1192.48"/>
    <x v="9"/>
    <x v="8"/>
    <x v="1"/>
  </r>
  <r>
    <d v="2024-09-16T00:00:00"/>
    <s v="P0029"/>
    <n v="6"/>
    <x v="2"/>
    <x v="1"/>
    <n v="0"/>
    <x v="25"/>
    <x v="1"/>
    <x v="1"/>
    <n v="51"/>
    <n v="57.65"/>
    <n v="306"/>
    <n v="345.9"/>
    <x v="9"/>
    <x v="8"/>
    <x v="1"/>
  </r>
  <r>
    <d v="2024-09-16T00:00:00"/>
    <s v="P0018"/>
    <n v="8"/>
    <x v="2"/>
    <x v="0"/>
    <n v="0"/>
    <x v="11"/>
    <x v="0"/>
    <x v="0"/>
    <n v="9"/>
    <n v="9.99"/>
    <n v="72"/>
    <n v="79.92"/>
    <x v="9"/>
    <x v="8"/>
    <x v="1"/>
  </r>
  <r>
    <d v="2024-09-17T00:00:00"/>
    <s v="P0036"/>
    <n v="12"/>
    <x v="1"/>
    <x v="0"/>
    <n v="0"/>
    <x v="13"/>
    <x v="3"/>
    <x v="2"/>
    <n v="108"/>
    <n v="117.31"/>
    <n v="1296"/>
    <n v="1407.72"/>
    <x v="10"/>
    <x v="8"/>
    <x v="1"/>
  </r>
  <r>
    <d v="2024-09-19T00:00:00"/>
    <s v="P0019"/>
    <n v="6"/>
    <x v="1"/>
    <x v="0"/>
    <n v="0"/>
    <x v="12"/>
    <x v="0"/>
    <x v="2"/>
    <n v="72"/>
    <n v="82.3"/>
    <n v="432"/>
    <n v="493.79999999999995"/>
    <x v="12"/>
    <x v="8"/>
    <x v="1"/>
  </r>
  <r>
    <d v="2024-09-19T00:00:00"/>
    <s v="P0016"/>
    <n v="11"/>
    <x v="2"/>
    <x v="0"/>
    <n v="0"/>
    <x v="19"/>
    <x v="0"/>
    <x v="3"/>
    <n v="102"/>
    <n v="115.69"/>
    <n v="1122"/>
    <n v="1272.5899999999999"/>
    <x v="12"/>
    <x v="8"/>
    <x v="1"/>
  </r>
  <r>
    <d v="2024-09-19T00:00:00"/>
    <s v="P0005"/>
    <n v="1"/>
    <x v="2"/>
    <x v="1"/>
    <n v="0"/>
    <x v="23"/>
    <x v="4"/>
    <x v="1"/>
    <n v="57"/>
    <n v="64.5"/>
    <n v="57"/>
    <n v="64.5"/>
    <x v="12"/>
    <x v="8"/>
    <x v="1"/>
  </r>
  <r>
    <d v="2024-09-19T00:00:00"/>
    <s v="P0041"/>
    <n v="4"/>
    <x v="2"/>
    <x v="1"/>
    <n v="0"/>
    <x v="8"/>
    <x v="3"/>
    <x v="3"/>
    <n v="104"/>
    <n v="113.21"/>
    <n v="416"/>
    <n v="452.84"/>
    <x v="12"/>
    <x v="8"/>
    <x v="1"/>
  </r>
  <r>
    <d v="2024-09-19T00:00:00"/>
    <s v="P0040"/>
    <n v="8"/>
    <x v="0"/>
    <x v="0"/>
    <n v="0.05"/>
    <x v="40"/>
    <x v="3"/>
    <x v="2"/>
    <n v="93"/>
    <n v="97.94"/>
    <n v="744"/>
    <n v="783.52"/>
    <x v="12"/>
    <x v="8"/>
    <x v="1"/>
  </r>
  <r>
    <d v="2024-09-19T00:00:00"/>
    <s v="P0004"/>
    <n v="2"/>
    <x v="1"/>
    <x v="0"/>
    <n v="0"/>
    <x v="37"/>
    <x v="4"/>
    <x v="1"/>
    <n v="46"/>
    <n v="49.91"/>
    <n v="92"/>
    <n v="99.82"/>
    <x v="12"/>
    <x v="8"/>
    <x v="1"/>
  </r>
  <r>
    <d v="2024-09-19T00:00:00"/>
    <s v="P0037"/>
    <n v="8"/>
    <x v="2"/>
    <x v="0"/>
    <n v="0"/>
    <x v="24"/>
    <x v="3"/>
    <x v="2"/>
    <n v="70"/>
    <n v="76.97"/>
    <n v="560"/>
    <n v="615.76"/>
    <x v="12"/>
    <x v="8"/>
    <x v="1"/>
  </r>
  <r>
    <d v="2024-09-19T00:00:00"/>
    <s v="P0003"/>
    <n v="15"/>
    <x v="2"/>
    <x v="1"/>
    <n v="0.05"/>
    <x v="15"/>
    <x v="4"/>
    <x v="2"/>
    <n v="76"/>
    <n v="80"/>
    <n v="1140"/>
    <n v="1200"/>
    <x v="12"/>
    <x v="8"/>
    <x v="1"/>
  </r>
  <r>
    <d v="2024-09-20T00:00:00"/>
    <s v="P0026"/>
    <n v="6"/>
    <x v="0"/>
    <x v="1"/>
    <n v="0.1"/>
    <x v="35"/>
    <x v="1"/>
    <x v="2"/>
    <n v="61"/>
    <n v="61.07"/>
    <n v="366"/>
    <n v="366.42"/>
    <x v="13"/>
    <x v="8"/>
    <x v="1"/>
  </r>
  <r>
    <d v="2024-09-21T00:00:00"/>
    <s v="P0031"/>
    <n v="10"/>
    <x v="0"/>
    <x v="1"/>
    <n v="0"/>
    <x v="28"/>
    <x v="1"/>
    <x v="2"/>
    <n v="99"/>
    <n v="107.4"/>
    <n v="990"/>
    <n v="1074"/>
    <x v="14"/>
    <x v="8"/>
    <x v="1"/>
  </r>
  <r>
    <d v="2024-09-22T00:00:00"/>
    <s v="P0031"/>
    <n v="13"/>
    <x v="0"/>
    <x v="1"/>
    <n v="0.02"/>
    <x v="28"/>
    <x v="1"/>
    <x v="2"/>
    <n v="99"/>
    <n v="107.04"/>
    <n v="1287"/>
    <n v="1391.52"/>
    <x v="28"/>
    <x v="8"/>
    <x v="1"/>
  </r>
  <r>
    <d v="2024-09-23T00:00:00"/>
    <s v="P0022"/>
    <n v="12"/>
    <x v="1"/>
    <x v="0"/>
    <n v="0"/>
    <x v="10"/>
    <x v="0"/>
    <x v="3"/>
    <n v="119"/>
    <n v="133.19"/>
    <n v="1428"/>
    <n v="1598.28"/>
    <x v="15"/>
    <x v="8"/>
    <x v="1"/>
  </r>
  <r>
    <d v="2024-09-24T00:00:00"/>
    <s v="P0009"/>
    <n v="1"/>
    <x v="1"/>
    <x v="0"/>
    <n v="0.02"/>
    <x v="41"/>
    <x v="2"/>
    <x v="1"/>
    <n v="40"/>
    <n v="45.47"/>
    <n v="40"/>
    <n v="45.47"/>
    <x v="16"/>
    <x v="8"/>
    <x v="1"/>
  </r>
  <r>
    <d v="2024-09-24T00:00:00"/>
    <s v="P0004"/>
    <n v="14"/>
    <x v="0"/>
    <x v="0"/>
    <n v="0.08"/>
    <x v="37"/>
    <x v="4"/>
    <x v="1"/>
    <n v="48"/>
    <n v="48.76"/>
    <n v="672"/>
    <n v="682.64"/>
    <x v="16"/>
    <x v="8"/>
    <x v="1"/>
  </r>
  <r>
    <d v="2024-09-25T00:00:00"/>
    <s v="P0004"/>
    <n v="2"/>
    <x v="2"/>
    <x v="0"/>
    <n v="0"/>
    <x v="37"/>
    <x v="4"/>
    <x v="1"/>
    <n v="46"/>
    <n v="53.9"/>
    <n v="92"/>
    <n v="107.8"/>
    <x v="29"/>
    <x v="8"/>
    <x v="1"/>
  </r>
  <r>
    <d v="2024-09-26T00:00:00"/>
    <s v="P0018"/>
    <n v="4"/>
    <x v="2"/>
    <x v="0"/>
    <n v="0"/>
    <x v="11"/>
    <x v="0"/>
    <x v="0"/>
    <n v="9"/>
    <n v="9.84"/>
    <n v="36"/>
    <n v="39.36"/>
    <x v="30"/>
    <x v="8"/>
    <x v="1"/>
  </r>
  <r>
    <d v="2024-09-28T00:00:00"/>
    <s v="P0014"/>
    <n v="8"/>
    <x v="1"/>
    <x v="0"/>
    <n v="0"/>
    <x v="2"/>
    <x v="2"/>
    <x v="2"/>
    <n v="119"/>
    <n v="137.04"/>
    <n v="952"/>
    <n v="1096.32"/>
    <x v="18"/>
    <x v="8"/>
    <x v="1"/>
  </r>
  <r>
    <d v="2024-09-29T00:00:00"/>
    <s v="P0038"/>
    <n v="1"/>
    <x v="0"/>
    <x v="1"/>
    <n v="0"/>
    <x v="34"/>
    <x v="3"/>
    <x v="2"/>
    <n v="77"/>
    <n v="89.97"/>
    <n v="77"/>
    <n v="89.97"/>
    <x v="19"/>
    <x v="8"/>
    <x v="1"/>
  </r>
  <r>
    <d v="2024-09-30T00:00:00"/>
    <s v="P0019"/>
    <n v="5"/>
    <x v="1"/>
    <x v="0"/>
    <n v="0"/>
    <x v="12"/>
    <x v="0"/>
    <x v="2"/>
    <n v="71"/>
    <n v="78.900000000000006"/>
    <n v="355"/>
    <n v="394.5"/>
    <x v="20"/>
    <x v="8"/>
    <x v="1"/>
  </r>
  <r>
    <d v="2024-10-01T00:00:00"/>
    <s v="P0008"/>
    <n v="8"/>
    <x v="1"/>
    <x v="1"/>
    <n v="0"/>
    <x v="20"/>
    <x v="2"/>
    <x v="2"/>
    <n v="65"/>
    <n v="73.41"/>
    <n v="520"/>
    <n v="587.28"/>
    <x v="22"/>
    <x v="9"/>
    <x v="1"/>
  </r>
  <r>
    <d v="2024-10-01T00:00:00"/>
    <s v="P0012"/>
    <n v="14"/>
    <x v="2"/>
    <x v="1"/>
    <n v="0"/>
    <x v="14"/>
    <x v="2"/>
    <x v="1"/>
    <n v="63"/>
    <n v="72.8"/>
    <n v="882"/>
    <n v="1019.1999999999999"/>
    <x v="22"/>
    <x v="9"/>
    <x v="1"/>
  </r>
  <r>
    <d v="2024-10-02T00:00:00"/>
    <s v="P0023"/>
    <n v="4"/>
    <x v="1"/>
    <x v="1"/>
    <n v="0"/>
    <x v="7"/>
    <x v="0"/>
    <x v="3"/>
    <n v="153"/>
    <n v="167.43"/>
    <n v="612"/>
    <n v="669.72"/>
    <x v="0"/>
    <x v="9"/>
    <x v="1"/>
  </r>
  <r>
    <d v="2024-10-02T00:00:00"/>
    <s v="P0044"/>
    <n v="5"/>
    <x v="0"/>
    <x v="1"/>
    <n v="0.02"/>
    <x v="32"/>
    <x v="3"/>
    <x v="2"/>
    <n v="82"/>
    <n v="91.98"/>
    <n v="410"/>
    <n v="459.90000000000003"/>
    <x v="0"/>
    <x v="9"/>
    <x v="1"/>
  </r>
  <r>
    <d v="2024-10-02T00:00:00"/>
    <s v="P0031"/>
    <n v="12"/>
    <x v="0"/>
    <x v="1"/>
    <n v="0"/>
    <x v="28"/>
    <x v="1"/>
    <x v="2"/>
    <n v="98"/>
    <n v="111.95"/>
    <n v="1176"/>
    <n v="1343.4"/>
    <x v="0"/>
    <x v="9"/>
    <x v="1"/>
  </r>
  <r>
    <d v="2024-10-03T00:00:00"/>
    <s v="P0032"/>
    <n v="6"/>
    <x v="2"/>
    <x v="0"/>
    <n v="0"/>
    <x v="33"/>
    <x v="1"/>
    <x v="2"/>
    <n v="95"/>
    <n v="107.43"/>
    <n v="570"/>
    <n v="644.58000000000004"/>
    <x v="1"/>
    <x v="9"/>
    <x v="1"/>
  </r>
  <r>
    <d v="2024-10-03T00:00:00"/>
    <s v="P0010"/>
    <n v="15"/>
    <x v="2"/>
    <x v="0"/>
    <n v="0"/>
    <x v="26"/>
    <x v="2"/>
    <x v="2"/>
    <n v="109"/>
    <n v="125.3"/>
    <n v="1635"/>
    <n v="1879.5"/>
    <x v="1"/>
    <x v="9"/>
    <x v="1"/>
  </r>
  <r>
    <d v="2024-10-04T00:00:00"/>
    <s v="P0033"/>
    <n v="15"/>
    <x v="0"/>
    <x v="0"/>
    <n v="0.08"/>
    <x v="44"/>
    <x v="1"/>
    <x v="0"/>
    <n v="10"/>
    <n v="10.45"/>
    <n v="150"/>
    <n v="156.75"/>
    <x v="2"/>
    <x v="9"/>
    <x v="1"/>
  </r>
  <r>
    <d v="2024-10-06T00:00:00"/>
    <s v="P0029"/>
    <n v="15"/>
    <x v="2"/>
    <x v="0"/>
    <n v="0"/>
    <x v="25"/>
    <x v="1"/>
    <x v="1"/>
    <n v="49"/>
    <n v="55.54"/>
    <n v="735"/>
    <n v="833.1"/>
    <x v="24"/>
    <x v="9"/>
    <x v="1"/>
  </r>
  <r>
    <d v="2024-10-07T00:00:00"/>
    <s v="P0021"/>
    <n v="4"/>
    <x v="2"/>
    <x v="1"/>
    <n v="0"/>
    <x v="18"/>
    <x v="0"/>
    <x v="2"/>
    <n v="89"/>
    <n v="98.83"/>
    <n v="356"/>
    <n v="395.32"/>
    <x v="3"/>
    <x v="9"/>
    <x v="1"/>
  </r>
  <r>
    <d v="2024-10-08T00:00:00"/>
    <s v="P0040"/>
    <n v="15"/>
    <x v="2"/>
    <x v="0"/>
    <n v="0"/>
    <x v="40"/>
    <x v="3"/>
    <x v="2"/>
    <n v="98"/>
    <n v="106.98"/>
    <n v="1470"/>
    <n v="1604.7"/>
    <x v="4"/>
    <x v="9"/>
    <x v="1"/>
  </r>
  <r>
    <d v="2024-10-10T00:00:00"/>
    <s v="P0023"/>
    <n v="15"/>
    <x v="1"/>
    <x v="1"/>
    <n v="0"/>
    <x v="7"/>
    <x v="0"/>
    <x v="3"/>
    <n v="147"/>
    <n v="167.03"/>
    <n v="2205"/>
    <n v="2505.4499999999998"/>
    <x v="6"/>
    <x v="9"/>
    <x v="1"/>
  </r>
  <r>
    <d v="2024-10-10T00:00:00"/>
    <s v="P0041"/>
    <n v="5"/>
    <x v="1"/>
    <x v="1"/>
    <n v="0"/>
    <x v="8"/>
    <x v="3"/>
    <x v="3"/>
    <n v="103"/>
    <n v="119.47"/>
    <n v="515"/>
    <n v="597.35"/>
    <x v="6"/>
    <x v="9"/>
    <x v="1"/>
  </r>
  <r>
    <d v="2024-10-10T00:00:00"/>
    <s v="P0005"/>
    <n v="9"/>
    <x v="1"/>
    <x v="1"/>
    <n v="0"/>
    <x v="23"/>
    <x v="4"/>
    <x v="1"/>
    <n v="56"/>
    <n v="64.069999999999993"/>
    <n v="504"/>
    <n v="576.62999999999988"/>
    <x v="6"/>
    <x v="9"/>
    <x v="1"/>
  </r>
  <r>
    <d v="2024-10-11T00:00:00"/>
    <s v="P0003"/>
    <n v="8"/>
    <x v="2"/>
    <x v="0"/>
    <n v="0"/>
    <x v="15"/>
    <x v="4"/>
    <x v="2"/>
    <n v="75"/>
    <n v="83.12"/>
    <n v="600"/>
    <n v="664.96"/>
    <x v="25"/>
    <x v="9"/>
    <x v="1"/>
  </r>
  <r>
    <d v="2024-10-12T00:00:00"/>
    <s v="P0010"/>
    <n v="9"/>
    <x v="2"/>
    <x v="0"/>
    <n v="0"/>
    <x v="26"/>
    <x v="2"/>
    <x v="2"/>
    <n v="114"/>
    <n v="128.80000000000001"/>
    <n v="1026"/>
    <n v="1159.2"/>
    <x v="26"/>
    <x v="9"/>
    <x v="1"/>
  </r>
  <r>
    <d v="2024-10-12T00:00:00"/>
    <s v="P0044"/>
    <n v="12"/>
    <x v="1"/>
    <x v="1"/>
    <n v="0"/>
    <x v="32"/>
    <x v="3"/>
    <x v="2"/>
    <n v="79"/>
    <n v="90.61"/>
    <n v="948"/>
    <n v="1087.32"/>
    <x v="26"/>
    <x v="9"/>
    <x v="1"/>
  </r>
  <r>
    <d v="2024-10-12T00:00:00"/>
    <s v="P0003"/>
    <n v="12"/>
    <x v="1"/>
    <x v="1"/>
    <n v="0"/>
    <x v="15"/>
    <x v="4"/>
    <x v="2"/>
    <n v="78"/>
    <n v="86.73"/>
    <n v="936"/>
    <n v="1040.76"/>
    <x v="26"/>
    <x v="9"/>
    <x v="1"/>
  </r>
  <r>
    <d v="2024-10-13T00:00:00"/>
    <s v="P0013"/>
    <n v="13"/>
    <x v="1"/>
    <x v="0"/>
    <n v="0"/>
    <x v="43"/>
    <x v="2"/>
    <x v="2"/>
    <n v="121"/>
    <n v="135.96"/>
    <n v="1573"/>
    <n v="1767.48"/>
    <x v="27"/>
    <x v="9"/>
    <x v="1"/>
  </r>
  <r>
    <d v="2024-10-13T00:00:00"/>
    <s v="P0039"/>
    <n v="14"/>
    <x v="1"/>
    <x v="1"/>
    <n v="0"/>
    <x v="27"/>
    <x v="3"/>
    <x v="1"/>
    <n v="44"/>
    <n v="48.73"/>
    <n v="616"/>
    <n v="682.21999999999991"/>
    <x v="27"/>
    <x v="9"/>
    <x v="1"/>
  </r>
  <r>
    <d v="2024-10-14T00:00:00"/>
    <s v="P0008"/>
    <n v="4"/>
    <x v="0"/>
    <x v="0"/>
    <n v="0.1"/>
    <x v="20"/>
    <x v="2"/>
    <x v="2"/>
    <n v="64"/>
    <n v="64.81"/>
    <n v="256"/>
    <n v="259.24"/>
    <x v="7"/>
    <x v="9"/>
    <x v="1"/>
  </r>
  <r>
    <d v="2024-10-14T00:00:00"/>
    <s v="P0045"/>
    <n v="9"/>
    <x v="2"/>
    <x v="0"/>
    <n v="0"/>
    <x v="5"/>
    <x v="3"/>
    <x v="1"/>
    <n v="68"/>
    <n v="78.67"/>
    <n v="612"/>
    <n v="708.03"/>
    <x v="7"/>
    <x v="9"/>
    <x v="1"/>
  </r>
  <r>
    <d v="2024-10-14T00:00:00"/>
    <s v="P0039"/>
    <n v="10"/>
    <x v="0"/>
    <x v="1"/>
    <n v="0"/>
    <x v="27"/>
    <x v="3"/>
    <x v="1"/>
    <n v="45"/>
    <n v="50.45"/>
    <n v="450"/>
    <n v="504.5"/>
    <x v="7"/>
    <x v="9"/>
    <x v="1"/>
  </r>
  <r>
    <d v="2024-10-17T00:00:00"/>
    <s v="P0029"/>
    <n v="1"/>
    <x v="1"/>
    <x v="1"/>
    <n v="0"/>
    <x v="25"/>
    <x v="1"/>
    <x v="1"/>
    <n v="49"/>
    <n v="56.63"/>
    <n v="49"/>
    <n v="56.63"/>
    <x v="10"/>
    <x v="9"/>
    <x v="1"/>
  </r>
  <r>
    <d v="2024-10-17T00:00:00"/>
    <s v="P0003"/>
    <n v="4"/>
    <x v="2"/>
    <x v="1"/>
    <n v="0"/>
    <x v="15"/>
    <x v="4"/>
    <x v="2"/>
    <n v="73"/>
    <n v="80.819999999999993"/>
    <n v="292"/>
    <n v="323.27999999999997"/>
    <x v="10"/>
    <x v="9"/>
    <x v="1"/>
  </r>
  <r>
    <d v="2024-10-19T00:00:00"/>
    <s v="P0025"/>
    <n v="2"/>
    <x v="0"/>
    <x v="1"/>
    <n v="0"/>
    <x v="0"/>
    <x v="0"/>
    <x v="0"/>
    <n v="7"/>
    <n v="8.02"/>
    <n v="14"/>
    <n v="16.04"/>
    <x v="12"/>
    <x v="9"/>
    <x v="1"/>
  </r>
  <r>
    <d v="2024-10-20T00:00:00"/>
    <s v="P0045"/>
    <n v="2"/>
    <x v="1"/>
    <x v="0"/>
    <n v="0"/>
    <x v="5"/>
    <x v="3"/>
    <x v="1"/>
    <n v="68"/>
    <n v="77.17"/>
    <n v="136"/>
    <n v="154.34"/>
    <x v="13"/>
    <x v="9"/>
    <x v="1"/>
  </r>
  <r>
    <d v="2024-10-21T00:00:00"/>
    <s v="P0018"/>
    <n v="10"/>
    <x v="2"/>
    <x v="0"/>
    <n v="0"/>
    <x v="11"/>
    <x v="0"/>
    <x v="0"/>
    <n v="9"/>
    <n v="10.6"/>
    <n v="90"/>
    <n v="106"/>
    <x v="14"/>
    <x v="9"/>
    <x v="1"/>
  </r>
  <r>
    <d v="2024-10-21T00:00:00"/>
    <s v="P0006"/>
    <n v="7"/>
    <x v="2"/>
    <x v="0"/>
    <n v="0"/>
    <x v="9"/>
    <x v="4"/>
    <x v="2"/>
    <n v="80"/>
    <n v="93.81"/>
    <n v="560"/>
    <n v="656.67000000000007"/>
    <x v="14"/>
    <x v="9"/>
    <x v="1"/>
  </r>
  <r>
    <d v="2024-10-22T00:00:00"/>
    <s v="P0010"/>
    <n v="3"/>
    <x v="2"/>
    <x v="0"/>
    <n v="0"/>
    <x v="26"/>
    <x v="2"/>
    <x v="2"/>
    <n v="111"/>
    <n v="121.35"/>
    <n v="333"/>
    <n v="364.04999999999995"/>
    <x v="28"/>
    <x v="9"/>
    <x v="1"/>
  </r>
  <r>
    <d v="2024-10-22T00:00:00"/>
    <s v="P0042"/>
    <n v="14"/>
    <x v="1"/>
    <x v="0"/>
    <n v="0"/>
    <x v="30"/>
    <x v="3"/>
    <x v="3"/>
    <n v="127"/>
    <n v="141.15"/>
    <n v="1778"/>
    <n v="1976.1000000000001"/>
    <x v="28"/>
    <x v="9"/>
    <x v="1"/>
  </r>
  <r>
    <d v="2024-10-24T00:00:00"/>
    <s v="P0041"/>
    <n v="10"/>
    <x v="0"/>
    <x v="1"/>
    <n v="0.08"/>
    <x v="8"/>
    <x v="3"/>
    <x v="3"/>
    <n v="108"/>
    <n v="115.11"/>
    <n v="1080"/>
    <n v="1151.0999999999999"/>
    <x v="16"/>
    <x v="9"/>
    <x v="1"/>
  </r>
  <r>
    <d v="2024-10-25T00:00:00"/>
    <s v="P0044"/>
    <n v="10"/>
    <x v="1"/>
    <x v="1"/>
    <n v="0"/>
    <x v="32"/>
    <x v="3"/>
    <x v="2"/>
    <n v="79"/>
    <n v="88.66"/>
    <n v="790"/>
    <n v="886.59999999999991"/>
    <x v="29"/>
    <x v="9"/>
    <x v="1"/>
  </r>
  <r>
    <d v="2024-10-27T00:00:00"/>
    <s v="P0029"/>
    <n v="8"/>
    <x v="2"/>
    <x v="0"/>
    <n v="0"/>
    <x v="25"/>
    <x v="1"/>
    <x v="1"/>
    <n v="51"/>
    <n v="58.79"/>
    <n v="408"/>
    <n v="470.32"/>
    <x v="17"/>
    <x v="9"/>
    <x v="1"/>
  </r>
  <r>
    <d v="2024-10-29T00:00:00"/>
    <s v="P0026"/>
    <n v="15"/>
    <x v="2"/>
    <x v="0"/>
    <n v="0"/>
    <x v="35"/>
    <x v="1"/>
    <x v="2"/>
    <n v="61"/>
    <n v="69.650000000000006"/>
    <n v="915"/>
    <n v="1044.75"/>
    <x v="19"/>
    <x v="9"/>
    <x v="1"/>
  </r>
  <r>
    <d v="2024-10-30T00:00:00"/>
    <s v="P0012"/>
    <n v="13"/>
    <x v="1"/>
    <x v="1"/>
    <n v="0"/>
    <x v="14"/>
    <x v="2"/>
    <x v="1"/>
    <n v="62"/>
    <n v="71.31"/>
    <n v="806"/>
    <n v="927.03"/>
    <x v="20"/>
    <x v="9"/>
    <x v="1"/>
  </r>
  <r>
    <d v="2024-10-31T00:00:00"/>
    <s v="P0034"/>
    <n v="4"/>
    <x v="2"/>
    <x v="1"/>
    <n v="0"/>
    <x v="36"/>
    <x v="1"/>
    <x v="1"/>
    <n v="58"/>
    <n v="66.44"/>
    <n v="232"/>
    <n v="265.76"/>
    <x v="21"/>
    <x v="9"/>
    <x v="1"/>
  </r>
  <r>
    <d v="2024-10-31T00:00:00"/>
    <s v="P0045"/>
    <n v="12"/>
    <x v="2"/>
    <x v="1"/>
    <n v="0"/>
    <x v="5"/>
    <x v="3"/>
    <x v="1"/>
    <n v="67"/>
    <n v="76.349999999999994"/>
    <n v="804"/>
    <n v="916.19999999999993"/>
    <x v="21"/>
    <x v="9"/>
    <x v="1"/>
  </r>
  <r>
    <d v="2024-11-01T00:00:00"/>
    <s v="P0015"/>
    <n v="13"/>
    <x v="2"/>
    <x v="0"/>
    <n v="0"/>
    <x v="22"/>
    <x v="0"/>
    <x v="3"/>
    <n v="137"/>
    <n v="159.03"/>
    <n v="1781"/>
    <n v="2067.39"/>
    <x v="22"/>
    <x v="10"/>
    <x v="1"/>
  </r>
  <r>
    <d v="2024-11-03T00:00:00"/>
    <s v="P0002"/>
    <n v="12"/>
    <x v="0"/>
    <x v="1"/>
    <n v="0"/>
    <x v="42"/>
    <x v="4"/>
    <x v="2"/>
    <n v="69"/>
    <n v="78.489999999999995"/>
    <n v="828"/>
    <n v="941.87999999999988"/>
    <x v="1"/>
    <x v="10"/>
    <x v="1"/>
  </r>
  <r>
    <d v="2024-11-05T00:00:00"/>
    <s v="P0009"/>
    <n v="10"/>
    <x v="2"/>
    <x v="0"/>
    <n v="0"/>
    <x v="41"/>
    <x v="2"/>
    <x v="1"/>
    <n v="41"/>
    <n v="44.77"/>
    <n v="410"/>
    <n v="447.70000000000005"/>
    <x v="23"/>
    <x v="10"/>
    <x v="1"/>
  </r>
  <r>
    <d v="2024-11-07T00:00:00"/>
    <s v="P0023"/>
    <n v="10"/>
    <x v="2"/>
    <x v="0"/>
    <n v="0"/>
    <x v="7"/>
    <x v="0"/>
    <x v="3"/>
    <n v="150"/>
    <n v="175.59"/>
    <n v="1500"/>
    <n v="1755.9"/>
    <x v="3"/>
    <x v="10"/>
    <x v="1"/>
  </r>
  <r>
    <d v="2024-11-07T00:00:00"/>
    <s v="P0023"/>
    <n v="8"/>
    <x v="2"/>
    <x v="0"/>
    <n v="0"/>
    <x v="7"/>
    <x v="0"/>
    <x v="3"/>
    <n v="146"/>
    <n v="167.57"/>
    <n v="1168"/>
    <n v="1340.56"/>
    <x v="3"/>
    <x v="10"/>
    <x v="1"/>
  </r>
  <r>
    <d v="2024-11-07T00:00:00"/>
    <s v="P0024"/>
    <n v="11"/>
    <x v="2"/>
    <x v="1"/>
    <n v="0"/>
    <x v="39"/>
    <x v="0"/>
    <x v="3"/>
    <n v="151"/>
    <n v="168.38"/>
    <n v="1661"/>
    <n v="1852.1799999999998"/>
    <x v="3"/>
    <x v="10"/>
    <x v="1"/>
  </r>
  <r>
    <d v="2024-11-07T00:00:00"/>
    <s v="P0027"/>
    <n v="8"/>
    <x v="1"/>
    <x v="1"/>
    <n v="0"/>
    <x v="1"/>
    <x v="1"/>
    <x v="1"/>
    <n v="52"/>
    <n v="57.17"/>
    <n v="416"/>
    <n v="457.36"/>
    <x v="3"/>
    <x v="10"/>
    <x v="1"/>
  </r>
  <r>
    <d v="2024-11-07T00:00:00"/>
    <s v="P0005"/>
    <n v="13"/>
    <x v="2"/>
    <x v="1"/>
    <n v="0"/>
    <x v="23"/>
    <x v="4"/>
    <x v="1"/>
    <n v="55"/>
    <n v="59.87"/>
    <n v="715"/>
    <n v="778.31"/>
    <x v="3"/>
    <x v="10"/>
    <x v="1"/>
  </r>
  <r>
    <d v="2024-11-08T00:00:00"/>
    <s v="P0020"/>
    <n v="2"/>
    <x v="1"/>
    <x v="1"/>
    <n v="0"/>
    <x v="21"/>
    <x v="0"/>
    <x v="1"/>
    <n v="67"/>
    <n v="76.239999999999995"/>
    <n v="134"/>
    <n v="152.47999999999999"/>
    <x v="4"/>
    <x v="10"/>
    <x v="1"/>
  </r>
  <r>
    <d v="2024-11-08T00:00:00"/>
    <s v="P0023"/>
    <n v="14"/>
    <x v="2"/>
    <x v="1"/>
    <n v="0"/>
    <x v="7"/>
    <x v="0"/>
    <x v="3"/>
    <n v="149"/>
    <n v="167.05"/>
    <n v="2086"/>
    <n v="2338.7000000000003"/>
    <x v="4"/>
    <x v="10"/>
    <x v="1"/>
  </r>
  <r>
    <d v="2024-11-10T00:00:00"/>
    <s v="P0045"/>
    <n v="13"/>
    <x v="2"/>
    <x v="0"/>
    <n v="0"/>
    <x v="5"/>
    <x v="3"/>
    <x v="1"/>
    <n v="66"/>
    <n v="74.23"/>
    <n v="858"/>
    <n v="964.99"/>
    <x v="6"/>
    <x v="10"/>
    <x v="1"/>
  </r>
  <r>
    <d v="2024-11-11T00:00:00"/>
    <s v="P0029"/>
    <n v="6"/>
    <x v="2"/>
    <x v="1"/>
    <n v="0"/>
    <x v="25"/>
    <x v="1"/>
    <x v="1"/>
    <n v="50"/>
    <n v="57.76"/>
    <n v="300"/>
    <n v="346.56"/>
    <x v="25"/>
    <x v="10"/>
    <x v="1"/>
  </r>
  <r>
    <d v="2024-11-13T00:00:00"/>
    <s v="P0033"/>
    <n v="13"/>
    <x v="0"/>
    <x v="0"/>
    <n v="0"/>
    <x v="44"/>
    <x v="1"/>
    <x v="0"/>
    <n v="9"/>
    <n v="10.49"/>
    <n v="117"/>
    <n v="136.37"/>
    <x v="27"/>
    <x v="10"/>
    <x v="1"/>
  </r>
  <r>
    <d v="2024-11-14T00:00:00"/>
    <s v="P0004"/>
    <n v="13"/>
    <x v="0"/>
    <x v="0"/>
    <n v="0.08"/>
    <x v="37"/>
    <x v="4"/>
    <x v="1"/>
    <n v="47"/>
    <n v="47.84"/>
    <n v="611"/>
    <n v="621.92000000000007"/>
    <x v="7"/>
    <x v="10"/>
    <x v="1"/>
  </r>
  <r>
    <d v="2024-11-14T00:00:00"/>
    <s v="P0019"/>
    <n v="1"/>
    <x v="2"/>
    <x v="1"/>
    <n v="0"/>
    <x v="12"/>
    <x v="0"/>
    <x v="2"/>
    <n v="71"/>
    <n v="81.48"/>
    <n v="71"/>
    <n v="81.48"/>
    <x v="7"/>
    <x v="10"/>
    <x v="1"/>
  </r>
  <r>
    <d v="2024-11-15T00:00:00"/>
    <s v="P0031"/>
    <n v="10"/>
    <x v="2"/>
    <x v="1"/>
    <n v="0"/>
    <x v="28"/>
    <x v="1"/>
    <x v="2"/>
    <n v="101"/>
    <n v="116.67"/>
    <n v="1010"/>
    <n v="1166.7"/>
    <x v="8"/>
    <x v="10"/>
    <x v="1"/>
  </r>
  <r>
    <d v="2024-11-15T00:00:00"/>
    <s v="P0005"/>
    <n v="1"/>
    <x v="2"/>
    <x v="0"/>
    <n v="0.02"/>
    <x v="23"/>
    <x v="4"/>
    <x v="1"/>
    <n v="55"/>
    <n v="59.47"/>
    <n v="55"/>
    <n v="59.47"/>
    <x v="8"/>
    <x v="10"/>
    <x v="1"/>
  </r>
  <r>
    <d v="2024-11-16T00:00:00"/>
    <s v="P0011"/>
    <n v="8"/>
    <x v="1"/>
    <x v="0"/>
    <n v="0"/>
    <x v="3"/>
    <x v="2"/>
    <x v="2"/>
    <n v="50"/>
    <n v="55.51"/>
    <n v="400"/>
    <n v="444.08"/>
    <x v="9"/>
    <x v="10"/>
    <x v="1"/>
  </r>
  <r>
    <d v="2024-11-16T00:00:00"/>
    <s v="P0006"/>
    <n v="8"/>
    <x v="0"/>
    <x v="0"/>
    <n v="0"/>
    <x v="9"/>
    <x v="4"/>
    <x v="2"/>
    <n v="80"/>
    <n v="89.27"/>
    <n v="640"/>
    <n v="714.16"/>
    <x v="9"/>
    <x v="10"/>
    <x v="1"/>
  </r>
  <r>
    <d v="2024-11-17T00:00:00"/>
    <s v="P0026"/>
    <n v="1"/>
    <x v="1"/>
    <x v="0"/>
    <n v="0.02"/>
    <x v="35"/>
    <x v="1"/>
    <x v="2"/>
    <n v="62"/>
    <n v="70.819999999999993"/>
    <n v="62"/>
    <n v="70.819999999999993"/>
    <x v="10"/>
    <x v="10"/>
    <x v="1"/>
  </r>
  <r>
    <d v="2024-11-19T00:00:00"/>
    <s v="P0015"/>
    <n v="9"/>
    <x v="0"/>
    <x v="1"/>
    <n v="0.02"/>
    <x v="22"/>
    <x v="0"/>
    <x v="3"/>
    <n v="136"/>
    <n v="147.72"/>
    <n v="1224"/>
    <n v="1329.48"/>
    <x v="12"/>
    <x v="10"/>
    <x v="1"/>
  </r>
  <r>
    <d v="2024-11-19T00:00:00"/>
    <s v="P0007"/>
    <n v="12"/>
    <x v="2"/>
    <x v="1"/>
    <n v="0"/>
    <x v="38"/>
    <x v="2"/>
    <x v="2"/>
    <n v="91"/>
    <n v="98.55"/>
    <n v="1092"/>
    <n v="1182.5999999999999"/>
    <x v="12"/>
    <x v="10"/>
    <x v="1"/>
  </r>
  <r>
    <d v="2024-11-20T00:00:00"/>
    <s v="P0041"/>
    <n v="15"/>
    <x v="1"/>
    <x v="0"/>
    <n v="0"/>
    <x v="8"/>
    <x v="3"/>
    <x v="3"/>
    <n v="104"/>
    <n v="114.78"/>
    <n v="1560"/>
    <n v="1721.7"/>
    <x v="13"/>
    <x v="10"/>
    <x v="1"/>
  </r>
  <r>
    <d v="2024-11-22T00:00:00"/>
    <s v="P0045"/>
    <n v="2"/>
    <x v="2"/>
    <x v="0"/>
    <n v="0"/>
    <x v="5"/>
    <x v="3"/>
    <x v="1"/>
    <n v="67"/>
    <n v="76.290000000000006"/>
    <n v="134"/>
    <n v="152.58000000000001"/>
    <x v="28"/>
    <x v="10"/>
    <x v="1"/>
  </r>
  <r>
    <d v="2024-11-22T00:00:00"/>
    <s v="P0005"/>
    <n v="4"/>
    <x v="2"/>
    <x v="0"/>
    <n v="0"/>
    <x v="23"/>
    <x v="4"/>
    <x v="1"/>
    <n v="54"/>
    <n v="60.57"/>
    <n v="216"/>
    <n v="242.28"/>
    <x v="28"/>
    <x v="10"/>
    <x v="1"/>
  </r>
  <r>
    <d v="2024-11-24T00:00:00"/>
    <s v="P0033"/>
    <n v="8"/>
    <x v="1"/>
    <x v="0"/>
    <n v="0"/>
    <x v="44"/>
    <x v="1"/>
    <x v="0"/>
    <n v="10"/>
    <n v="11.19"/>
    <n v="80"/>
    <n v="89.52"/>
    <x v="16"/>
    <x v="10"/>
    <x v="1"/>
  </r>
  <r>
    <d v="2024-11-24T00:00:00"/>
    <s v="P0002"/>
    <n v="13"/>
    <x v="1"/>
    <x v="1"/>
    <n v="0"/>
    <x v="42"/>
    <x v="4"/>
    <x v="2"/>
    <n v="70"/>
    <n v="80.239999999999995"/>
    <n v="910"/>
    <n v="1043.1199999999999"/>
    <x v="16"/>
    <x v="10"/>
    <x v="1"/>
  </r>
  <r>
    <d v="2024-11-24T00:00:00"/>
    <s v="P0018"/>
    <n v="11"/>
    <x v="1"/>
    <x v="0"/>
    <n v="0.05"/>
    <x v="11"/>
    <x v="0"/>
    <x v="0"/>
    <n v="8"/>
    <n v="8.25"/>
    <n v="88"/>
    <n v="90.75"/>
    <x v="16"/>
    <x v="10"/>
    <x v="1"/>
  </r>
  <r>
    <d v="2024-11-25T00:00:00"/>
    <s v="P0004"/>
    <n v="7"/>
    <x v="2"/>
    <x v="0"/>
    <n v="0"/>
    <x v="37"/>
    <x v="4"/>
    <x v="1"/>
    <n v="46"/>
    <n v="51.61"/>
    <n v="322"/>
    <n v="361.27"/>
    <x v="29"/>
    <x v="10"/>
    <x v="1"/>
  </r>
  <r>
    <d v="2024-11-25T00:00:00"/>
    <s v="P0009"/>
    <n v="15"/>
    <x v="2"/>
    <x v="0"/>
    <n v="0"/>
    <x v="41"/>
    <x v="2"/>
    <x v="1"/>
    <n v="41"/>
    <n v="44.96"/>
    <n v="615"/>
    <n v="674.4"/>
    <x v="29"/>
    <x v="10"/>
    <x v="1"/>
  </r>
  <r>
    <d v="2024-11-25T00:00:00"/>
    <s v="P0040"/>
    <n v="7"/>
    <x v="0"/>
    <x v="1"/>
    <n v="0.02"/>
    <x v="40"/>
    <x v="3"/>
    <x v="2"/>
    <n v="95"/>
    <n v="101.77"/>
    <n v="665"/>
    <n v="712.39"/>
    <x v="29"/>
    <x v="10"/>
    <x v="1"/>
  </r>
  <r>
    <d v="2024-11-26T00:00:00"/>
    <s v="P0014"/>
    <n v="14"/>
    <x v="2"/>
    <x v="0"/>
    <n v="0"/>
    <x v="2"/>
    <x v="2"/>
    <x v="2"/>
    <n v="119"/>
    <n v="134.62"/>
    <n v="1666"/>
    <n v="1884.68"/>
    <x v="30"/>
    <x v="10"/>
    <x v="1"/>
  </r>
  <r>
    <d v="2024-11-26T00:00:00"/>
    <s v="P0010"/>
    <n v="14"/>
    <x v="1"/>
    <x v="0"/>
    <n v="0"/>
    <x v="26"/>
    <x v="2"/>
    <x v="2"/>
    <n v="108"/>
    <n v="118.02"/>
    <n v="1512"/>
    <n v="1652.28"/>
    <x v="30"/>
    <x v="10"/>
    <x v="1"/>
  </r>
  <r>
    <d v="2024-11-28T00:00:00"/>
    <s v="P0037"/>
    <n v="12"/>
    <x v="0"/>
    <x v="0"/>
    <n v="0"/>
    <x v="24"/>
    <x v="3"/>
    <x v="2"/>
    <n v="71"/>
    <n v="81.430000000000007"/>
    <n v="852"/>
    <n v="977.16000000000008"/>
    <x v="18"/>
    <x v="10"/>
    <x v="1"/>
  </r>
  <r>
    <d v="2024-11-28T00:00:00"/>
    <s v="P0010"/>
    <n v="15"/>
    <x v="0"/>
    <x v="1"/>
    <n v="0"/>
    <x v="26"/>
    <x v="2"/>
    <x v="2"/>
    <n v="111"/>
    <n v="124.52"/>
    <n v="1665"/>
    <n v="1867.8"/>
    <x v="18"/>
    <x v="10"/>
    <x v="1"/>
  </r>
  <r>
    <d v="2024-12-02T00:00:00"/>
    <s v="P0004"/>
    <n v="12"/>
    <x v="2"/>
    <x v="0"/>
    <n v="0"/>
    <x v="37"/>
    <x v="4"/>
    <x v="1"/>
    <n v="48"/>
    <n v="56.56"/>
    <n v="576"/>
    <n v="678.72"/>
    <x v="0"/>
    <x v="11"/>
    <x v="1"/>
  </r>
  <r>
    <d v="2024-12-03T00:00:00"/>
    <s v="P0012"/>
    <n v="1"/>
    <x v="1"/>
    <x v="1"/>
    <n v="0"/>
    <x v="14"/>
    <x v="2"/>
    <x v="1"/>
    <n v="61"/>
    <n v="70.17"/>
    <n v="61"/>
    <n v="70.17"/>
    <x v="1"/>
    <x v="11"/>
    <x v="1"/>
  </r>
  <r>
    <d v="2024-12-05T00:00:00"/>
    <s v="P0040"/>
    <n v="13"/>
    <x v="2"/>
    <x v="1"/>
    <n v="0"/>
    <x v="40"/>
    <x v="3"/>
    <x v="2"/>
    <n v="97"/>
    <n v="109.39"/>
    <n v="1261"/>
    <n v="1422.07"/>
    <x v="23"/>
    <x v="11"/>
    <x v="1"/>
  </r>
  <r>
    <d v="2024-12-05T00:00:00"/>
    <s v="P0040"/>
    <n v="7"/>
    <x v="1"/>
    <x v="1"/>
    <n v="0"/>
    <x v="40"/>
    <x v="3"/>
    <x v="2"/>
    <n v="95"/>
    <n v="109.02"/>
    <n v="665"/>
    <n v="763.14"/>
    <x v="23"/>
    <x v="11"/>
    <x v="1"/>
  </r>
  <r>
    <d v="2024-12-06T00:00:00"/>
    <s v="P0010"/>
    <n v="15"/>
    <x v="2"/>
    <x v="0"/>
    <n v="0"/>
    <x v="26"/>
    <x v="2"/>
    <x v="2"/>
    <n v="113"/>
    <n v="132.05000000000001"/>
    <n v="1695"/>
    <n v="1980.7500000000002"/>
    <x v="24"/>
    <x v="11"/>
    <x v="1"/>
  </r>
  <r>
    <d v="2024-12-06T00:00:00"/>
    <s v="P0030"/>
    <n v="1"/>
    <x v="1"/>
    <x v="0"/>
    <n v="0"/>
    <x v="16"/>
    <x v="1"/>
    <x v="2"/>
    <n v="83"/>
    <n v="89.81"/>
    <n v="83"/>
    <n v="89.81"/>
    <x v="24"/>
    <x v="11"/>
    <x v="1"/>
  </r>
  <r>
    <d v="2024-12-08T00:00:00"/>
    <s v="P0034"/>
    <n v="15"/>
    <x v="2"/>
    <x v="0"/>
    <n v="0"/>
    <x v="36"/>
    <x v="1"/>
    <x v="1"/>
    <n v="57"/>
    <n v="63.5"/>
    <n v="855"/>
    <n v="952.5"/>
    <x v="4"/>
    <x v="11"/>
    <x v="1"/>
  </r>
  <r>
    <d v="2024-12-08T00:00:00"/>
    <s v="P0011"/>
    <n v="8"/>
    <x v="1"/>
    <x v="1"/>
    <n v="0"/>
    <x v="3"/>
    <x v="2"/>
    <x v="2"/>
    <n v="49"/>
    <n v="53.46"/>
    <n v="392"/>
    <n v="427.68"/>
    <x v="4"/>
    <x v="11"/>
    <x v="1"/>
  </r>
  <r>
    <d v="2024-12-09T00:00:00"/>
    <s v="P0020"/>
    <n v="13"/>
    <x v="2"/>
    <x v="0"/>
    <n v="0"/>
    <x v="21"/>
    <x v="0"/>
    <x v="1"/>
    <n v="64"/>
    <n v="74.91"/>
    <n v="832"/>
    <n v="973.82999999999993"/>
    <x v="5"/>
    <x v="11"/>
    <x v="1"/>
  </r>
  <r>
    <d v="2024-12-10T00:00:00"/>
    <s v="P0036"/>
    <n v="15"/>
    <x v="0"/>
    <x v="0"/>
    <n v="0.02"/>
    <x v="13"/>
    <x v="3"/>
    <x v="2"/>
    <n v="109"/>
    <n v="125.23"/>
    <n v="1635"/>
    <n v="1878.45"/>
    <x v="6"/>
    <x v="11"/>
    <x v="1"/>
  </r>
  <r>
    <d v="2024-12-11T00:00:00"/>
    <s v="P0011"/>
    <n v="1"/>
    <x v="2"/>
    <x v="0"/>
    <n v="0"/>
    <x v="3"/>
    <x v="2"/>
    <x v="2"/>
    <n v="49"/>
    <n v="56.58"/>
    <n v="49"/>
    <n v="56.58"/>
    <x v="25"/>
    <x v="11"/>
    <x v="1"/>
  </r>
  <r>
    <d v="2024-12-12T00:00:00"/>
    <s v="P0012"/>
    <n v="5"/>
    <x v="1"/>
    <x v="0"/>
    <n v="0"/>
    <x v="14"/>
    <x v="2"/>
    <x v="1"/>
    <n v="63"/>
    <n v="72.739999999999995"/>
    <n v="315"/>
    <n v="363.7"/>
    <x v="26"/>
    <x v="11"/>
    <x v="1"/>
  </r>
  <r>
    <d v="2024-12-12T00:00:00"/>
    <s v="P0010"/>
    <n v="3"/>
    <x v="2"/>
    <x v="1"/>
    <n v="0"/>
    <x v="26"/>
    <x v="2"/>
    <x v="2"/>
    <n v="115"/>
    <n v="132.38"/>
    <n v="345"/>
    <n v="397.14"/>
    <x v="26"/>
    <x v="11"/>
    <x v="1"/>
  </r>
  <r>
    <d v="2024-12-13T00:00:00"/>
    <s v="P0019"/>
    <n v="6"/>
    <x v="2"/>
    <x v="1"/>
    <n v="0.05"/>
    <x v="12"/>
    <x v="0"/>
    <x v="2"/>
    <n v="71"/>
    <n v="75.36"/>
    <n v="426"/>
    <n v="452.15999999999997"/>
    <x v="27"/>
    <x v="11"/>
    <x v="1"/>
  </r>
  <r>
    <d v="2024-12-14T00:00:00"/>
    <s v="P0045"/>
    <n v="9"/>
    <x v="2"/>
    <x v="1"/>
    <n v="0"/>
    <x v="5"/>
    <x v="3"/>
    <x v="1"/>
    <n v="68"/>
    <n v="77.349999999999994"/>
    <n v="612"/>
    <n v="696.15"/>
    <x v="7"/>
    <x v="11"/>
    <x v="1"/>
  </r>
  <r>
    <d v="2024-12-14T00:00:00"/>
    <s v="P0037"/>
    <n v="6"/>
    <x v="2"/>
    <x v="0"/>
    <n v="0"/>
    <x v="24"/>
    <x v="3"/>
    <x v="2"/>
    <n v="72"/>
    <n v="84.11"/>
    <n v="432"/>
    <n v="504.65999999999997"/>
    <x v="7"/>
    <x v="11"/>
    <x v="1"/>
  </r>
  <r>
    <d v="2024-12-15T00:00:00"/>
    <s v="P0017"/>
    <n v="8"/>
    <x v="0"/>
    <x v="0"/>
    <n v="0.05"/>
    <x v="4"/>
    <x v="0"/>
    <x v="0"/>
    <n v="13"/>
    <n v="14.15"/>
    <n v="104"/>
    <n v="113.2"/>
    <x v="8"/>
    <x v="11"/>
    <x v="1"/>
  </r>
  <r>
    <d v="2024-12-15T00:00:00"/>
    <s v="P0020"/>
    <n v="13"/>
    <x v="1"/>
    <x v="0"/>
    <n v="0"/>
    <x v="21"/>
    <x v="0"/>
    <x v="1"/>
    <n v="63"/>
    <n v="68.349999999999994"/>
    <n v="819"/>
    <n v="888.55"/>
    <x v="8"/>
    <x v="11"/>
    <x v="1"/>
  </r>
  <r>
    <d v="2024-12-15T00:00:00"/>
    <s v="P0004"/>
    <n v="13"/>
    <x v="2"/>
    <x v="1"/>
    <n v="0"/>
    <x v="37"/>
    <x v="4"/>
    <x v="1"/>
    <n v="47"/>
    <n v="54.84"/>
    <n v="611"/>
    <n v="712.92000000000007"/>
    <x v="8"/>
    <x v="11"/>
    <x v="1"/>
  </r>
  <r>
    <d v="2024-12-15T00:00:00"/>
    <s v="P0015"/>
    <n v="7"/>
    <x v="2"/>
    <x v="1"/>
    <n v="0"/>
    <x v="22"/>
    <x v="0"/>
    <x v="3"/>
    <n v="139"/>
    <n v="150.31"/>
    <n v="973"/>
    <n v="1052.17"/>
    <x v="8"/>
    <x v="11"/>
    <x v="1"/>
  </r>
  <r>
    <d v="2024-12-15T00:00:00"/>
    <s v="P0008"/>
    <n v="3"/>
    <x v="1"/>
    <x v="0"/>
    <n v="0"/>
    <x v="20"/>
    <x v="2"/>
    <x v="2"/>
    <n v="64"/>
    <n v="74.34"/>
    <n v="192"/>
    <n v="223.02"/>
    <x v="8"/>
    <x v="11"/>
    <x v="1"/>
  </r>
  <r>
    <d v="2024-12-16T00:00:00"/>
    <s v="P0001"/>
    <n v="10"/>
    <x v="1"/>
    <x v="0"/>
    <n v="0"/>
    <x v="17"/>
    <x v="4"/>
    <x v="2"/>
    <n v="104"/>
    <n v="119.57"/>
    <n v="1040"/>
    <n v="1195.6999999999998"/>
    <x v="9"/>
    <x v="11"/>
    <x v="1"/>
  </r>
  <r>
    <d v="2024-12-16T00:00:00"/>
    <s v="P0035"/>
    <n v="8"/>
    <x v="2"/>
    <x v="1"/>
    <n v="0"/>
    <x v="6"/>
    <x v="1"/>
    <x v="0"/>
    <n v="5"/>
    <n v="5.42"/>
    <n v="40"/>
    <n v="43.36"/>
    <x v="9"/>
    <x v="11"/>
    <x v="1"/>
  </r>
  <r>
    <d v="2024-12-16T00:00:00"/>
    <s v="P0030"/>
    <n v="11"/>
    <x v="0"/>
    <x v="0"/>
    <n v="0.02"/>
    <x v="16"/>
    <x v="1"/>
    <x v="2"/>
    <n v="82"/>
    <n v="89.94"/>
    <n v="902"/>
    <n v="989.33999999999992"/>
    <x v="9"/>
    <x v="11"/>
    <x v="1"/>
  </r>
  <r>
    <d v="2024-12-17T00:00:00"/>
    <s v="P0025"/>
    <n v="12"/>
    <x v="1"/>
    <x v="1"/>
    <n v="0"/>
    <x v="0"/>
    <x v="0"/>
    <x v="0"/>
    <n v="8"/>
    <n v="8.65"/>
    <n v="96"/>
    <n v="103.80000000000001"/>
    <x v="10"/>
    <x v="11"/>
    <x v="1"/>
  </r>
  <r>
    <d v="2024-12-17T00:00:00"/>
    <s v="P0019"/>
    <n v="1"/>
    <x v="2"/>
    <x v="1"/>
    <n v="0.05"/>
    <x v="12"/>
    <x v="0"/>
    <x v="2"/>
    <n v="71"/>
    <n v="75.69"/>
    <n v="71"/>
    <n v="75.69"/>
    <x v="10"/>
    <x v="11"/>
    <x v="1"/>
  </r>
  <r>
    <d v="2024-12-18T00:00:00"/>
    <s v="P0034"/>
    <n v="13"/>
    <x v="1"/>
    <x v="0"/>
    <n v="0"/>
    <x v="36"/>
    <x v="1"/>
    <x v="1"/>
    <n v="57"/>
    <n v="64.53"/>
    <n v="741"/>
    <n v="838.89"/>
    <x v="11"/>
    <x v="11"/>
    <x v="1"/>
  </r>
  <r>
    <d v="2024-12-18T00:00:00"/>
    <s v="P0007"/>
    <n v="15"/>
    <x v="2"/>
    <x v="1"/>
    <n v="0"/>
    <x v="38"/>
    <x v="2"/>
    <x v="2"/>
    <n v="96"/>
    <n v="111.83"/>
    <n v="1440"/>
    <n v="1677.45"/>
    <x v="11"/>
    <x v="11"/>
    <x v="1"/>
  </r>
  <r>
    <d v="2024-12-19T00:00:00"/>
    <s v="P0034"/>
    <n v="10"/>
    <x v="0"/>
    <x v="1"/>
    <n v="0"/>
    <x v="36"/>
    <x v="1"/>
    <x v="1"/>
    <n v="57"/>
    <n v="64.61"/>
    <n v="570"/>
    <n v="646.1"/>
    <x v="12"/>
    <x v="11"/>
    <x v="1"/>
  </r>
  <r>
    <d v="2024-12-20T00:00:00"/>
    <s v="P0036"/>
    <n v="10"/>
    <x v="0"/>
    <x v="0"/>
    <n v="0"/>
    <x v="13"/>
    <x v="3"/>
    <x v="2"/>
    <n v="107"/>
    <n v="125.62"/>
    <n v="1070"/>
    <n v="1256.2"/>
    <x v="13"/>
    <x v="11"/>
    <x v="1"/>
  </r>
  <r>
    <d v="2024-12-20T00:00:00"/>
    <s v="P0024"/>
    <n v="12"/>
    <x v="1"/>
    <x v="1"/>
    <n v="0.05"/>
    <x v="39"/>
    <x v="0"/>
    <x v="3"/>
    <n v="152"/>
    <n v="166.55"/>
    <n v="1824"/>
    <n v="1998.6000000000001"/>
    <x v="13"/>
    <x v="11"/>
    <x v="1"/>
  </r>
  <r>
    <d v="2024-12-20T00:00:00"/>
    <s v="P0025"/>
    <n v="2"/>
    <x v="2"/>
    <x v="0"/>
    <n v="0"/>
    <x v="0"/>
    <x v="0"/>
    <x v="0"/>
    <n v="8"/>
    <n v="9.08"/>
    <n v="16"/>
    <n v="18.16"/>
    <x v="13"/>
    <x v="11"/>
    <x v="1"/>
  </r>
  <r>
    <d v="2024-12-21T00:00:00"/>
    <s v="P0024"/>
    <n v="2"/>
    <x v="0"/>
    <x v="1"/>
    <n v="0.02"/>
    <x v="39"/>
    <x v="0"/>
    <x v="3"/>
    <n v="155"/>
    <n v="171.75"/>
    <n v="310"/>
    <n v="343.5"/>
    <x v="14"/>
    <x v="11"/>
    <x v="1"/>
  </r>
  <r>
    <d v="2024-12-23T00:00:00"/>
    <s v="P0017"/>
    <n v="14"/>
    <x v="1"/>
    <x v="1"/>
    <n v="0"/>
    <x v="4"/>
    <x v="0"/>
    <x v="0"/>
    <n v="12"/>
    <n v="13.59"/>
    <n v="168"/>
    <n v="190.26"/>
    <x v="15"/>
    <x v="11"/>
    <x v="1"/>
  </r>
  <r>
    <d v="2024-12-24T00:00:00"/>
    <s v="P0005"/>
    <n v="10"/>
    <x v="2"/>
    <x v="0"/>
    <n v="0"/>
    <x v="23"/>
    <x v="4"/>
    <x v="1"/>
    <n v="57"/>
    <n v="63.57"/>
    <n v="570"/>
    <n v="635.70000000000005"/>
    <x v="16"/>
    <x v="11"/>
    <x v="1"/>
  </r>
  <r>
    <d v="2024-12-24T00:00:00"/>
    <s v="P0045"/>
    <n v="2"/>
    <x v="2"/>
    <x v="0"/>
    <n v="0"/>
    <x v="5"/>
    <x v="3"/>
    <x v="1"/>
    <n v="66"/>
    <n v="72.08"/>
    <n v="132"/>
    <n v="144.16"/>
    <x v="16"/>
    <x v="11"/>
    <x v="1"/>
  </r>
  <r>
    <d v="2024-12-24T00:00:00"/>
    <s v="P0043"/>
    <n v="2"/>
    <x v="2"/>
    <x v="0"/>
    <n v="0"/>
    <x v="29"/>
    <x v="3"/>
    <x v="0"/>
    <n v="12"/>
    <n v="13.23"/>
    <n v="24"/>
    <n v="26.46"/>
    <x v="16"/>
    <x v="11"/>
    <x v="1"/>
  </r>
  <r>
    <d v="2024-12-26T00:00:00"/>
    <s v="P0005"/>
    <n v="5"/>
    <x v="1"/>
    <x v="1"/>
    <n v="0"/>
    <x v="23"/>
    <x v="4"/>
    <x v="1"/>
    <n v="57"/>
    <n v="65.13"/>
    <n v="285"/>
    <n v="325.64999999999998"/>
    <x v="30"/>
    <x v="11"/>
    <x v="1"/>
  </r>
  <r>
    <d v="2024-12-26T00:00:00"/>
    <s v="P0014"/>
    <n v="6"/>
    <x v="1"/>
    <x v="1"/>
    <n v="0"/>
    <x v="2"/>
    <x v="2"/>
    <x v="2"/>
    <n v="123"/>
    <n v="143.82"/>
    <n v="738"/>
    <n v="862.92"/>
    <x v="30"/>
    <x v="11"/>
    <x v="1"/>
  </r>
  <r>
    <d v="2024-12-27T00:00:00"/>
    <s v="P0018"/>
    <n v="10"/>
    <x v="2"/>
    <x v="0"/>
    <n v="0"/>
    <x v="11"/>
    <x v="0"/>
    <x v="0"/>
    <n v="9"/>
    <n v="10.38"/>
    <n v="90"/>
    <n v="103.80000000000001"/>
    <x v="17"/>
    <x v="11"/>
    <x v="1"/>
  </r>
  <r>
    <d v="2024-12-29T00:00:00"/>
    <s v="P0039"/>
    <n v="7"/>
    <x v="2"/>
    <x v="0"/>
    <n v="0"/>
    <x v="27"/>
    <x v="3"/>
    <x v="1"/>
    <n v="43"/>
    <n v="48.8"/>
    <n v="301"/>
    <n v="341.59999999999997"/>
    <x v="19"/>
    <x v="11"/>
    <x v="1"/>
  </r>
  <r>
    <d v="2024-12-30T00:00:00"/>
    <s v="P0025"/>
    <n v="5"/>
    <x v="2"/>
    <x v="0"/>
    <n v="0"/>
    <x v="0"/>
    <x v="0"/>
    <x v="0"/>
    <n v="8"/>
    <n v="8.7100000000000009"/>
    <n v="40"/>
    <n v="43.550000000000004"/>
    <x v="20"/>
    <x v="11"/>
    <x v="1"/>
  </r>
  <r>
    <d v="2024-12-30T00:00:00"/>
    <s v="P0029"/>
    <n v="2"/>
    <x v="1"/>
    <x v="0"/>
    <n v="0"/>
    <x v="25"/>
    <x v="1"/>
    <x v="1"/>
    <n v="49"/>
    <n v="57.6"/>
    <n v="98"/>
    <n v="115.2"/>
    <x v="20"/>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2698B-B695-4A8C-9A3D-A1EC8145BF98}" name="PaymentMode"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chartFormat="11">
  <location ref="AQ3:AR5" firstHeaderRow="1" firstDataRow="1" firstDataCol="1"/>
  <pivotFields count="16">
    <pivotField compact="0" numFmtId="164" showAll="0"/>
    <pivotField compact="0" showAll="0"/>
    <pivotField compact="0" showAll="0"/>
    <pivotField compact="0" showAll="0">
      <items count="4">
        <item x="1"/>
        <item x="2"/>
        <item x="0"/>
        <item t="default"/>
      </items>
    </pivotField>
    <pivotField axis="axisRow" compact="0" showAll="0">
      <items count="3">
        <item x="1"/>
        <item x="0"/>
        <item t="default"/>
      </items>
    </pivotField>
    <pivotField compact="0" numFmtId="165" showAll="0"/>
    <pivotField compact="0" showAll="0"/>
    <pivotField compact="0" showAll="0"/>
    <pivotField compact="0" showAll="0"/>
    <pivotField compact="0" numFmtId="166" showAll="0"/>
    <pivotField compact="0" numFmtId="166" showAll="0"/>
    <pivotField compact="0" numFmtId="166" showAll="0"/>
    <pivotField dataField="1" compact="0" numFmtId="166" showAll="0"/>
    <pivotField compact="0" showAll="0"/>
    <pivotField compact="0" showAll="0">
      <items count="13">
        <item x="0"/>
        <item x="1"/>
        <item x="2"/>
        <item x="3"/>
        <item x="4"/>
        <item x="5"/>
        <item x="6"/>
        <item x="7"/>
        <item x="8"/>
        <item x="9"/>
        <item x="10"/>
        <item x="11"/>
        <item t="default"/>
      </items>
    </pivotField>
    <pivotField compact="0" showAll="0">
      <items count="3">
        <item x="1"/>
        <item x="0"/>
        <item t="default"/>
      </items>
    </pivotField>
  </pivotFields>
  <rowFields count="1">
    <field x="4"/>
  </rowFields>
  <rowItems count="2">
    <i>
      <x/>
    </i>
    <i>
      <x v="1"/>
    </i>
  </rowItems>
  <colItems count="1">
    <i/>
  </colItems>
  <dataFields count="1">
    <dataField name="Sum of Total Selling Value" fld="12" baseField="0" baseItem="0"/>
  </dataFields>
  <chartFormats count="9">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5DCB2-35C4-4520-B107-2EF7430F2B63}" name="SalesType"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chartFormat="11">
  <location ref="AN3:AO6" firstHeaderRow="1" firstDataRow="1" firstDataCol="1"/>
  <pivotFields count="16">
    <pivotField compact="0" numFmtId="164" showAll="0"/>
    <pivotField compact="0" showAll="0"/>
    <pivotField compact="0" showAll="0"/>
    <pivotField name="SALE TYPE " axis="axisRow" compact="0" showAll="0">
      <items count="4">
        <item x="1"/>
        <item x="2"/>
        <item x="0"/>
        <item t="default"/>
      </items>
    </pivotField>
    <pivotField compact="0" showAll="0">
      <items count="3">
        <item x="1"/>
        <item x="0"/>
        <item t="default"/>
      </items>
    </pivotField>
    <pivotField compact="0" numFmtId="165" showAll="0"/>
    <pivotField compact="0" showAll="0"/>
    <pivotField compact="0" showAll="0"/>
    <pivotField compact="0" showAll="0"/>
    <pivotField compact="0" numFmtId="166" showAll="0"/>
    <pivotField compact="0" numFmtId="166" showAll="0"/>
    <pivotField compact="0" numFmtId="166" showAll="0"/>
    <pivotField dataField="1" compact="0" numFmtId="166" showAll="0"/>
    <pivotField compact="0" showAll="0"/>
    <pivotField compact="0" showAll="0">
      <items count="13">
        <item x="0"/>
        <item x="1"/>
        <item x="2"/>
        <item x="3"/>
        <item x="4"/>
        <item x="5"/>
        <item x="6"/>
        <item x="7"/>
        <item x="8"/>
        <item x="9"/>
        <item x="10"/>
        <item x="11"/>
        <item t="default"/>
      </items>
    </pivotField>
    <pivotField compact="0" showAll="0">
      <items count="3">
        <item x="1"/>
        <item x="0"/>
        <item t="default"/>
      </items>
    </pivotField>
  </pivotFields>
  <rowFields count="1">
    <field x="3"/>
  </rowFields>
  <rowItems count="3">
    <i>
      <x/>
    </i>
    <i>
      <x v="1"/>
    </i>
    <i>
      <x v="2"/>
    </i>
  </rowItems>
  <colItems count="1">
    <i/>
  </colItems>
  <dataFields count="1">
    <dataField name="Sum of Total Selling Value" fld="12" baseField="0" baseItem="0"/>
  </dataFields>
  <chartFormats count="1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3" count="1" selected="0">
            <x v="0"/>
          </reference>
        </references>
      </pivotArea>
    </chartFormat>
    <chartFormat chart="10" format="18">
      <pivotArea type="data" outline="0" fieldPosition="0">
        <references count="2">
          <reference field="4294967294" count="1" selected="0">
            <x v="0"/>
          </reference>
          <reference field="3" count="1" selected="0">
            <x v="1"/>
          </reference>
        </references>
      </pivotArea>
    </chartFormat>
    <chartFormat chart="10"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326E1-9ABA-4476-BA7F-B8B46D33144B}" name="Monthly"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location ref="G3:I15" firstHeaderRow="0" firstDataRow="1" firstDataCol="1"/>
  <pivotFields count="16">
    <pivotField compact="0" numFmtId="164" showAll="0"/>
    <pivotField compact="0" showAll="0"/>
    <pivotField compact="0" showAll="0"/>
    <pivotField compact="0" showAll="0">
      <items count="4">
        <item x="1"/>
        <item x="2"/>
        <item x="0"/>
        <item t="default"/>
      </items>
    </pivotField>
    <pivotField compact="0" showAll="0"/>
    <pivotField compact="0" numFmtId="165" showAll="0"/>
    <pivotField compact="0" showAll="0"/>
    <pivotField compact="0" showAll="0"/>
    <pivotField compact="0" showAll="0"/>
    <pivotField compact="0" numFmtId="166" showAll="0"/>
    <pivotField compact="0" numFmtId="166" showAll="0"/>
    <pivotField dataField="1" compact="0" numFmtId="166" showAll="0"/>
    <pivotField dataField="1" compact="0" numFmtId="166" showAll="0"/>
    <pivotField compact="0" showAll="0"/>
    <pivotField axis="axisRow" compact="0" showAll="0">
      <items count="13">
        <item x="0"/>
        <item x="1"/>
        <item x="2"/>
        <item x="3"/>
        <item x="4"/>
        <item x="5"/>
        <item x="6"/>
        <item x="7"/>
        <item x="8"/>
        <item x="9"/>
        <item x="10"/>
        <item x="11"/>
        <item t="default"/>
      </items>
    </pivotField>
    <pivotField compact="0" showAll="0">
      <items count="3">
        <item x="1"/>
        <item x="0"/>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10E0F1-5AF7-4254-A8ED-060D91BA7EE2}" name="Daily"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chartFormat="10">
  <location ref="A3:B34" firstHeaderRow="1" firstDataRow="1" firstDataCol="1"/>
  <pivotFields count="16">
    <pivotField compact="0" numFmtId="164" showAll="0"/>
    <pivotField compact="0" showAll="0"/>
    <pivotField compact="0" showAll="0"/>
    <pivotField compact="0" showAll="0">
      <items count="4">
        <item x="1"/>
        <item x="2"/>
        <item x="0"/>
        <item t="default"/>
      </items>
    </pivotField>
    <pivotField compact="0" showAll="0">
      <items count="3">
        <item x="1"/>
        <item x="0"/>
        <item t="default"/>
      </items>
    </pivotField>
    <pivotField compact="0" numFmtId="165" showAll="0"/>
    <pivotField compact="0" showAll="0"/>
    <pivotField compact="0" showAll="0"/>
    <pivotField compact="0" showAll="0"/>
    <pivotField compact="0" numFmtId="166" showAll="0"/>
    <pivotField compact="0" numFmtId="166" showAll="0"/>
    <pivotField compact="0" numFmtId="166" showAll="0"/>
    <pivotField dataField="1" compact="0" numFmtId="166" showAll="0"/>
    <pivotField axis="axisRow" compact="0" showAll="0">
      <items count="32">
        <item x="22"/>
        <item x="0"/>
        <item x="1"/>
        <item x="2"/>
        <item x="23"/>
        <item x="24"/>
        <item x="3"/>
        <item x="4"/>
        <item x="5"/>
        <item x="6"/>
        <item x="25"/>
        <item x="26"/>
        <item x="27"/>
        <item x="7"/>
        <item x="8"/>
        <item x="9"/>
        <item x="10"/>
        <item x="11"/>
        <item x="12"/>
        <item x="13"/>
        <item x="14"/>
        <item x="28"/>
        <item x="15"/>
        <item x="16"/>
        <item x="29"/>
        <item x="30"/>
        <item x="17"/>
        <item x="18"/>
        <item x="19"/>
        <item x="20"/>
        <item x="21"/>
        <item t="default"/>
      </items>
    </pivotField>
    <pivotField compact="0" showAll="0">
      <items count="13">
        <item x="0"/>
        <item x="1"/>
        <item x="2"/>
        <item x="3"/>
        <item x="4"/>
        <item x="5"/>
        <item x="6"/>
        <item x="7"/>
        <item x="8"/>
        <item x="9"/>
        <item x="10"/>
        <item x="11"/>
        <item t="default"/>
      </items>
    </pivotField>
    <pivotField compact="0" showAll="0">
      <items count="3">
        <item x="1"/>
        <item x="0"/>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6"/>
  </dataFields>
  <formats count="1">
    <format dxfId="15">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68C25-D836-4EAA-A72A-01BFE121719E}" name="CategoryWise"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location ref="AF3:AG8" firstHeaderRow="1" firstDataRow="1" firstDataCol="1"/>
  <pivotFields count="16">
    <pivotField compact="0" numFmtId="164" showAll="0"/>
    <pivotField compact="0" showAll="0"/>
    <pivotField compact="0" showAll="0"/>
    <pivotField compact="0" showAll="0">
      <items count="4">
        <item x="1"/>
        <item x="2"/>
        <item x="0"/>
        <item t="default"/>
      </items>
    </pivotField>
    <pivotField compact="0" showAll="0">
      <items count="3">
        <item x="1"/>
        <item x="0"/>
        <item t="default"/>
      </items>
    </pivotField>
    <pivotField compact="0" numFmtId="165" showAll="0"/>
    <pivotField compact="0" showAll="0"/>
    <pivotField axis="axisRow" compact="0" showAll="0">
      <items count="6">
        <item x="4"/>
        <item x="2"/>
        <item x="0"/>
        <item x="1"/>
        <item x="3"/>
        <item t="default"/>
      </items>
    </pivotField>
    <pivotField compact="0" showAll="0"/>
    <pivotField compact="0" numFmtId="166" showAll="0"/>
    <pivotField compact="0" numFmtId="166" showAll="0"/>
    <pivotField compact="0" numFmtId="166" showAll="0"/>
    <pivotField dataField="1" compact="0" numFmtId="166" showAll="0"/>
    <pivotField compact="0" showAll="0"/>
    <pivotField compact="0" showAll="0">
      <items count="13">
        <item x="0"/>
        <item x="1"/>
        <item x="2"/>
        <item x="3"/>
        <item x="4"/>
        <item x="5"/>
        <item x="6"/>
        <item x="7"/>
        <item x="8"/>
        <item x="9"/>
        <item x="10"/>
        <item x="11"/>
        <item t="default"/>
      </items>
    </pivotField>
    <pivotField compact="0" showAll="0">
      <items count="3">
        <item x="1"/>
        <item x="0"/>
        <item t="default"/>
      </items>
    </pivotField>
  </pivotFields>
  <rowFields count="1">
    <field x="7"/>
  </rowFields>
  <rowItems count="5">
    <i>
      <x/>
    </i>
    <i>
      <x v="1"/>
    </i>
    <i>
      <x v="2"/>
    </i>
    <i>
      <x v="3"/>
    </i>
    <i>
      <x v="4"/>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A3A13B-2DF6-426A-8843-B261A551F00B}" name="Productwise" cacheId="0" applyNumberFormats="0" applyBorderFormats="0" applyFontFormats="0" applyPatternFormats="0" applyAlignmentFormats="0" applyWidthHeightFormats="1" dataCaption="Values" updatedVersion="8" minRefreshableVersion="3" useAutoFormatting="1" rowGrandTotals="0" itemPrintTitles="1" createdVersion="7" indent="0" compact="0" compactData="0" multipleFieldFilters="0">
  <location ref="P3:S48" firstHeaderRow="0" firstDataRow="1" firstDataCol="2"/>
  <pivotFields count="16">
    <pivotField compact="0" numFmtId="164" outline="0" showAll="0" defaultSubtotal="0"/>
    <pivotField compact="0" outline="0" showAll="0" defaultSubtotal="0"/>
    <pivotField dataField="1" compact="0" outline="0" showAll="0" defaultSubtotal="0"/>
    <pivotField compact="0" outline="0" showAll="0" defaultSubtotal="0">
      <items count="3">
        <item x="1"/>
        <item x="2"/>
        <item x="0"/>
      </items>
    </pivotField>
    <pivotField compact="0" outline="0" showAll="0" defaultSubtotal="0">
      <items count="2">
        <item x="1"/>
        <item x="0"/>
      </items>
    </pivotField>
    <pivotField compact="0" numFmtId="165" outline="0" showAll="0" defaultSubtotal="0"/>
    <pivotField axis="axisRow" compact="0" outline="0" showAll="0" defaultSubtotal="0">
      <items count="45">
        <item x="17"/>
        <item x="42"/>
        <item x="15"/>
        <item x="37"/>
        <item x="23"/>
        <item x="9"/>
        <item x="38"/>
        <item x="20"/>
        <item x="41"/>
        <item x="26"/>
        <item x="3"/>
        <item x="14"/>
        <item x="43"/>
        <item x="2"/>
        <item x="22"/>
        <item x="19"/>
        <item x="4"/>
        <item x="11"/>
        <item x="12"/>
        <item x="21"/>
        <item x="18"/>
        <item x="10"/>
        <item x="7"/>
        <item x="39"/>
        <item x="0"/>
        <item x="35"/>
        <item x="1"/>
        <item x="31"/>
        <item x="25"/>
        <item x="16"/>
        <item x="28"/>
        <item x="33"/>
        <item x="44"/>
        <item x="36"/>
        <item x="6"/>
        <item x="13"/>
        <item x="24"/>
        <item x="34"/>
        <item x="27"/>
        <item x="40"/>
        <item x="8"/>
        <item x="30"/>
        <item x="29"/>
        <item x="32"/>
        <item x="5"/>
      </items>
    </pivotField>
    <pivotField compact="0" outline="0" showAll="0" defaultSubtotal="0"/>
    <pivotField axis="axisRow" compact="0" outline="0" showAll="0" defaultSubtotal="0">
      <items count="4">
        <item x="3"/>
        <item x="2"/>
        <item x="1"/>
        <item x="0"/>
      </items>
    </pivotField>
    <pivotField compact="0" numFmtId="166" outline="0" showAll="0" defaultSubtotal="0"/>
    <pivotField compact="0" numFmtId="166" outline="0" showAll="0" defaultSubtotal="0"/>
    <pivotField compact="0" numFmtId="166" outline="0" showAll="0" defaultSubtotal="0"/>
    <pivotField dataField="1" compact="0" numFmtId="166"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2">
        <item x="1"/>
        <item x="0"/>
      </items>
    </pivotField>
  </pivotFields>
  <rowFields count="2">
    <field x="6"/>
    <field x="8"/>
  </rowFields>
  <rowItems count="45">
    <i>
      <x/>
      <x v="1"/>
    </i>
    <i>
      <x v="1"/>
      <x v="1"/>
    </i>
    <i>
      <x v="2"/>
      <x v="1"/>
    </i>
    <i>
      <x v="3"/>
      <x v="2"/>
    </i>
    <i>
      <x v="4"/>
      <x v="2"/>
    </i>
    <i>
      <x v="5"/>
      <x v="1"/>
    </i>
    <i>
      <x v="6"/>
      <x v="1"/>
    </i>
    <i>
      <x v="7"/>
      <x v="1"/>
    </i>
    <i>
      <x v="8"/>
      <x v="2"/>
    </i>
    <i>
      <x v="9"/>
      <x v="1"/>
    </i>
    <i>
      <x v="10"/>
      <x v="1"/>
    </i>
    <i>
      <x v="11"/>
      <x v="2"/>
    </i>
    <i>
      <x v="12"/>
      <x v="1"/>
    </i>
    <i>
      <x v="13"/>
      <x v="1"/>
    </i>
    <i>
      <x v="14"/>
      <x/>
    </i>
    <i>
      <x v="15"/>
      <x/>
    </i>
    <i>
      <x v="16"/>
      <x v="3"/>
    </i>
    <i>
      <x v="17"/>
      <x v="3"/>
    </i>
    <i>
      <x v="18"/>
      <x v="1"/>
    </i>
    <i>
      <x v="19"/>
      <x v="2"/>
    </i>
    <i>
      <x v="20"/>
      <x v="1"/>
    </i>
    <i>
      <x v="21"/>
      <x/>
    </i>
    <i>
      <x v="22"/>
      <x/>
    </i>
    <i>
      <x v="23"/>
      <x/>
    </i>
    <i>
      <x v="24"/>
      <x v="3"/>
    </i>
    <i>
      <x v="25"/>
      <x v="1"/>
    </i>
    <i>
      <x v="26"/>
      <x v="2"/>
    </i>
    <i>
      <x v="27"/>
      <x v="2"/>
    </i>
    <i>
      <x v="28"/>
      <x v="2"/>
    </i>
    <i>
      <x v="29"/>
      <x v="1"/>
    </i>
    <i>
      <x v="30"/>
      <x v="1"/>
    </i>
    <i>
      <x v="31"/>
      <x v="1"/>
    </i>
    <i>
      <x v="32"/>
      <x v="3"/>
    </i>
    <i>
      <x v="33"/>
      <x v="2"/>
    </i>
    <i>
      <x v="34"/>
      <x v="3"/>
    </i>
    <i>
      <x v="35"/>
      <x v="1"/>
    </i>
    <i>
      <x v="36"/>
      <x v="1"/>
    </i>
    <i>
      <x v="37"/>
      <x v="1"/>
    </i>
    <i>
      <x v="38"/>
      <x v="2"/>
    </i>
    <i>
      <x v="39"/>
      <x v="1"/>
    </i>
    <i>
      <x v="40"/>
      <x/>
    </i>
    <i>
      <x v="41"/>
      <x/>
    </i>
    <i>
      <x v="42"/>
      <x v="3"/>
    </i>
    <i>
      <x v="43"/>
      <x v="1"/>
    </i>
    <i>
      <x v="44"/>
      <x v="2"/>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23A2B5-6F0F-4732-93F4-4326B3E9FB1B}" name="TotalSale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3:E4" firstHeaderRow="0" firstDataRow="1" firstDataCol="0"/>
  <pivotFields count="16">
    <pivotField numFmtId="164" showAll="0"/>
    <pivotField showAll="0"/>
    <pivotField showAll="0"/>
    <pivotField showAll="0">
      <items count="4">
        <item x="1"/>
        <item x="2"/>
        <item x="0"/>
        <item t="default"/>
      </items>
    </pivotField>
    <pivotField showAll="0">
      <items count="3">
        <item x="1"/>
        <item x="0"/>
        <item t="default"/>
      </items>
    </pivotField>
    <pivotField numFmtId="165" showAll="0"/>
    <pivotField showAll="0"/>
    <pivotField showAll="0"/>
    <pivotField showAll="0"/>
    <pivotField numFmtId="166" showAll="0"/>
    <pivotField numFmtId="166" showAll="0"/>
    <pivotField dataField="1" numFmtId="166" showAll="0"/>
    <pivotField dataField="1" numFmtId="166"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20BBB2-B667-4D89-866F-EB3901A0FFB3}" sourceName="MONTH">
  <pivotTables>
    <pivotTable tabId="5" name="Daily"/>
    <pivotTable tabId="5" name="CategoryWise"/>
    <pivotTable tabId="5" name="PaymentMode"/>
    <pivotTable tabId="5" name="Productwise"/>
    <pivotTable tabId="5" name="SalesType"/>
    <pivotTable tabId="5" name="TotalSales"/>
  </pivotTables>
  <data>
    <tabular pivotCacheId="193422355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3DEF80-3709-4699-8555-BF0DCD85FDA0}" sourceName="YEAR">
  <pivotTables>
    <pivotTable tabId="5" name="Daily"/>
    <pivotTable tabId="5" name="CategoryWise"/>
    <pivotTable tabId="5" name="Monthly"/>
    <pivotTable tabId="5" name="PaymentMode"/>
    <pivotTable tabId="5" name="Productwise"/>
    <pivotTable tabId="5" name="SalesType"/>
    <pivotTable tabId="5" name="TotalSales"/>
  </pivotTables>
  <data>
    <tabular pivotCacheId="193422355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AF6F05E2-3F00-4FCC-8C56-25B875691BAB}" sourceName="Sale Type">
  <pivotTables>
    <pivotTable tabId="5" name="Daily"/>
    <pivotTable tabId="5" name="CategoryWise"/>
    <pivotTable tabId="5" name="Monthly"/>
    <pivotTable tabId="5" name="PaymentMode"/>
    <pivotTable tabId="5" name="Productwise"/>
    <pivotTable tabId="5" name="TotalSales"/>
  </pivotTables>
  <data>
    <tabular pivotCacheId="193422355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7284A68-ADB5-4A85-997D-5DAAB3AB7869}" sourceName="Payment Mode">
  <pivotTables>
    <pivotTable tabId="5" name="Daily"/>
    <pivotTable tabId="5" name="CategoryWise"/>
    <pivotTable tabId="5" name="Productwise"/>
    <pivotTable tabId="5" name="SalesType"/>
    <pivotTable tabId="5" name="TotalSales"/>
  </pivotTables>
  <data>
    <tabular pivotCacheId="193422355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E06FB3-D5E8-43EF-8ED6-1BE4BB18A48B}" cache="Slicer_MONTH" caption="MONTH" startItem="1" rowHeight="241300"/>
  <slicer name="YEAR" xr10:uid="{3D852272-FA20-47C0-B102-33690F6A60C5}" cache="Slicer_YEAR" caption="YEAR" rowHeight="241300"/>
  <slicer name="Sale Type" xr10:uid="{2E81B1AC-E8D5-49DA-B6C3-66C65B8C6B6A}" cache="Slicer_Sale_Type" caption="Sale Type" columnCount="3" style="Slicer Style 3" rowHeight="241300"/>
  <slicer name="Payment Mode" xr10:uid="{C82BA099-4462-4587-B4F3-C237870F0D7B}" cache="Slicer_Payment_Mode" caption="Payment Mod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CF85BC-FB99-46E9-A1C1-2B18434EC1FE}" name="Table1" displayName="Table1" ref="A1:P951" totalsRowShown="0" headerRowDxfId="14" tableBorderDxfId="13">
  <tableColumns count="16">
    <tableColumn id="1" xr3:uid="{B548F1E5-8C48-42D2-BCCE-6EC127903C09}" name="Date" dataDxfId="12"/>
    <tableColumn id="2" xr3:uid="{2DF3E751-BCCE-465B-950F-D4DF2FD7AA6B}" name="Product ID" dataDxfId="11"/>
    <tableColumn id="3" xr3:uid="{656CA546-4E18-46CB-BF73-1977CE75F074}" name="Quantity" dataDxfId="10"/>
    <tableColumn id="4" xr3:uid="{5DE2D8F6-98C5-4389-A4FC-96F369575F55}" name="Sale Type" dataDxfId="9"/>
    <tableColumn id="5" xr3:uid="{674A10F3-A757-4BB9-A5E0-402FA9A907A7}" name="Payment Mode" dataDxfId="8"/>
    <tableColumn id="6" xr3:uid="{A93F4C65-0FAD-41C7-80A8-ECE38F191FDA}" name="Discount %" dataDxfId="7"/>
    <tableColumn id="7" xr3:uid="{9C54D61A-A7C2-47E8-BD7A-6C5A98D8D772}" name="Product" dataDxfId="6"/>
    <tableColumn id="8" xr3:uid="{DEBCC22D-3BE0-4619-BA93-DF2AFA95BF46}" name="Category" dataDxfId="5"/>
    <tableColumn id="9" xr3:uid="{FCF6A3EA-7741-4A57-BAC9-66EDF79719DB}" name="UOM" dataDxfId="4"/>
    <tableColumn id="10" xr3:uid="{1ED30FF0-4CB0-4F6C-ACA1-E626BE88753B}" name="Buying Price" dataDxfId="3"/>
    <tableColumn id="11" xr3:uid="{C5CBCDAC-E754-4484-BCCC-EF2E6FEB8F18}" name="Selling Price" dataDxfId="2"/>
    <tableColumn id="12" xr3:uid="{6A994F31-B7CE-4AF7-999C-3C12205B6199}" name="Total Buying Value" dataDxfId="1"/>
    <tableColumn id="13" xr3:uid="{DA330CA1-F9A6-42F3-911D-BBEECC76A01E}" name="Total Selling Value" dataDxfId="0"/>
    <tableColumn id="14" xr3:uid="{EEBEF377-91BD-4FD4-AE4B-6916823A242E}" name="DAY"/>
    <tableColumn id="15" xr3:uid="{7725D158-7BCA-43CB-B0A6-5BF6432FC945}" name="MONTH"/>
    <tableColumn id="16" xr3:uid="{68B83362-9A24-4866-81B3-29EC1F6F684E}" name="YEA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2.xml"/><Relationship Id="rId5" Type="http://schemas.openxmlformats.org/officeDocument/2006/relationships/pivotTable" Target="../pivotTables/pivotTable5.xml"/><Relationship Id="rId10" Type="http://schemas.openxmlformats.org/officeDocument/2006/relationships/vmlDrawing" Target="../drawings/vmlDrawing2.v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3D20-EB84-4E6F-ABA4-5282D717165E}">
  <dimension ref="AA1:AD18"/>
  <sheetViews>
    <sheetView showGridLines="0" tabSelected="1" zoomScale="75" zoomScaleNormal="75" workbookViewId="0">
      <selection activeCell="AA5" sqref="AA5"/>
    </sheetView>
  </sheetViews>
  <sheetFormatPr defaultRowHeight="15" x14ac:dyDescent="0.25"/>
  <cols>
    <col min="1" max="1" width="2.28515625" customWidth="1"/>
  </cols>
  <sheetData>
    <row r="1" spans="27:30" ht="6" customHeight="1" x14ac:dyDescent="0.25">
      <c r="AA1">
        <v>1</v>
      </c>
    </row>
    <row r="14" spans="27:30" x14ac:dyDescent="0.25">
      <c r="AB14" s="16"/>
      <c r="AC14" s="16"/>
      <c r="AD14" s="16"/>
    </row>
    <row r="15" spans="27:30" x14ac:dyDescent="0.25">
      <c r="AB15" s="16"/>
      <c r="AC15" s="16"/>
      <c r="AD15" s="16"/>
    </row>
    <row r="16" spans="27:30" x14ac:dyDescent="0.25">
      <c r="AB16" s="16"/>
      <c r="AC16" s="16"/>
      <c r="AD16" s="16"/>
    </row>
    <row r="17" spans="28:30" x14ac:dyDescent="0.25">
      <c r="AB17" s="16"/>
      <c r="AC17" s="16"/>
      <c r="AD17" s="16"/>
    </row>
    <row r="18" spans="28:30" x14ac:dyDescent="0.25">
      <c r="AB18" s="16"/>
      <c r="AC18" s="16"/>
      <c r="AD18" s="16"/>
    </row>
  </sheetData>
  <mergeCells count="1">
    <mergeCell ref="AB14:AD1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5" r:id="rId3" name="Scroll Bar 3">
              <controlPr defaultSize="0" autoPict="0">
                <anchor moveWithCells="1">
                  <from>
                    <xdr:col>10</xdr:col>
                    <xdr:colOff>371475</xdr:colOff>
                    <xdr:row>15</xdr:row>
                    <xdr:rowOff>66675</xdr:rowOff>
                  </from>
                  <to>
                    <xdr:col>10</xdr:col>
                    <xdr:colOff>571500</xdr:colOff>
                    <xdr:row>24</xdr:row>
                    <xdr:rowOff>76200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3292-A8E8-480E-B251-CB7B3750F57A}">
  <dimension ref="A1:AR48"/>
  <sheetViews>
    <sheetView topLeftCell="AH1" workbookViewId="0">
      <selection activeCell="AN3" sqref="AN3"/>
    </sheetView>
  </sheetViews>
  <sheetFormatPr defaultRowHeight="15" x14ac:dyDescent="0.25"/>
  <cols>
    <col min="1" max="1" width="7" bestFit="1" customWidth="1"/>
    <col min="2" max="2" width="24.42578125" bestFit="1" customWidth="1"/>
    <col min="4" max="5" width="24.42578125" bestFit="1" customWidth="1"/>
    <col min="7" max="7" width="10.28515625" bestFit="1" customWidth="1"/>
    <col min="8" max="9" width="24.42578125" bestFit="1" customWidth="1"/>
    <col min="10" max="10" width="24.42578125" customWidth="1"/>
    <col min="11" max="11" width="11.7109375" customWidth="1"/>
    <col min="12" max="12" width="10.85546875" customWidth="1"/>
    <col min="13" max="13" width="11" customWidth="1"/>
    <col min="14" max="14" width="12" customWidth="1"/>
    <col min="16" max="16" width="13.140625" bestFit="1" customWidth="1"/>
    <col min="17" max="17" width="8" bestFit="1" customWidth="1"/>
    <col min="18" max="18" width="24.42578125" bestFit="1" customWidth="1"/>
    <col min="19" max="19" width="15.42578125" bestFit="1" customWidth="1"/>
    <col min="20" max="27" width="15.42578125" customWidth="1"/>
    <col min="28" max="28" width="24.42578125" bestFit="1" customWidth="1"/>
    <col min="29" max="30" width="15.42578125" customWidth="1"/>
    <col min="32" max="32" width="11.140625" bestFit="1" customWidth="1"/>
    <col min="33" max="33" width="24.42578125" bestFit="1" customWidth="1"/>
    <col min="34" max="34" width="24.42578125" customWidth="1"/>
    <col min="35" max="38" width="13.5703125" customWidth="1"/>
    <col min="40" max="40" width="12.5703125" bestFit="1" customWidth="1"/>
    <col min="41" max="41" width="24.42578125" bestFit="1" customWidth="1"/>
    <col min="43" max="43" width="17" bestFit="1" customWidth="1"/>
    <col min="44" max="44" width="24.42578125" bestFit="1" customWidth="1"/>
  </cols>
  <sheetData>
    <row r="1" spans="1:44" x14ac:dyDescent="0.25">
      <c r="V1" t="str">
        <f ca="1">VLOOKUP(1,U4:Y48,2,0)</f>
        <v>Product42</v>
      </c>
      <c r="W1" t="str">
        <f ca="1">VLOOKUP(1,U4:Y48,3,0)</f>
        <v>Ft</v>
      </c>
      <c r="X1" s="14">
        <f ca="1">VLOOKUP(1,U4:Y48,4,0)</f>
        <v>29262.25</v>
      </c>
      <c r="Y1">
        <f ca="1">VLOOKUP(1,U4:Y48,5,0)</f>
        <v>212</v>
      </c>
      <c r="AA1">
        <v>31</v>
      </c>
      <c r="AB1">
        <f>COUNT(S:S)-9</f>
        <v>36</v>
      </c>
      <c r="AC1">
        <f>MIN(AA1:AB1)</f>
        <v>31</v>
      </c>
      <c r="AJ1" t="str">
        <f ca="1">VLOOKUP(1,AI3:AK7,2,0)</f>
        <v>Category05</v>
      </c>
      <c r="AK1" s="8">
        <f ca="1">VLOOKUP(1,AI3:AK7,3,0)</f>
        <v>166465.9200000001</v>
      </c>
    </row>
    <row r="2" spans="1:44" x14ac:dyDescent="0.25">
      <c r="L2" t="b">
        <v>1</v>
      </c>
      <c r="M2" t="b">
        <v>1</v>
      </c>
      <c r="N2" t="b">
        <v>1</v>
      </c>
    </row>
    <row r="3" spans="1:44" x14ac:dyDescent="0.25">
      <c r="A3" s="5" t="s">
        <v>116</v>
      </c>
      <c r="B3" t="s">
        <v>133</v>
      </c>
      <c r="D3" s="15" t="s">
        <v>134</v>
      </c>
      <c r="E3" s="15" t="s">
        <v>133</v>
      </c>
      <c r="G3" s="5" t="s">
        <v>117</v>
      </c>
      <c r="H3" s="15" t="s">
        <v>134</v>
      </c>
      <c r="I3" s="15" t="s">
        <v>133</v>
      </c>
      <c r="K3" t="s">
        <v>139</v>
      </c>
      <c r="L3" t="s">
        <v>140</v>
      </c>
      <c r="M3" t="s">
        <v>141</v>
      </c>
      <c r="N3" t="s">
        <v>138</v>
      </c>
      <c r="P3" s="5" t="s">
        <v>6</v>
      </c>
      <c r="Q3" s="5" t="s">
        <v>8</v>
      </c>
      <c r="R3" s="15" t="s">
        <v>133</v>
      </c>
      <c r="S3" s="15" t="s">
        <v>135</v>
      </c>
      <c r="AF3" s="5" t="s">
        <v>7</v>
      </c>
      <c r="AG3" t="s">
        <v>133</v>
      </c>
      <c r="AI3">
        <f ca="1">RANK(AK3,_xlfn.ANCHORARRAY($AK$3))</f>
        <v>5</v>
      </c>
      <c r="AJ3" s="11" t="str" cm="1">
        <f t="array" aca="1" ref="AJ3:AJ7" ca="1">OFFSET($AF$3,1,0,COUNT($AG:$AG))</f>
        <v>Category01</v>
      </c>
      <c r="AK3" s="8" cm="1">
        <f t="array" aca="1" ref="AK3:AK7" ca="1">OFFSET($AF$3,1,1,COUNT($AG:$AG))</f>
        <v>80176.759999999995</v>
      </c>
      <c r="AN3" s="5" t="s">
        <v>142</v>
      </c>
      <c r="AO3" t="s">
        <v>133</v>
      </c>
      <c r="AQ3" s="5" t="s">
        <v>4</v>
      </c>
      <c r="AR3" t="s">
        <v>133</v>
      </c>
    </row>
    <row r="4" spans="1:44" x14ac:dyDescent="0.25">
      <c r="A4" s="15">
        <v>1</v>
      </c>
      <c r="B4" s="8">
        <v>14737.609999999999</v>
      </c>
      <c r="D4" s="11">
        <v>535715</v>
      </c>
      <c r="E4" s="11">
        <v>601495.43999999959</v>
      </c>
      <c r="G4" s="15" t="s">
        <v>122</v>
      </c>
      <c r="H4" s="11">
        <v>43349</v>
      </c>
      <c r="I4" s="11">
        <v>48326.479999999989</v>
      </c>
      <c r="J4" s="11"/>
      <c r="K4" t="s">
        <v>122</v>
      </c>
      <c r="L4" s="8">
        <f>IF($L$2=TRUE,VLOOKUP(K4,G3:I15,3,0),NA())</f>
        <v>48326.479999999989</v>
      </c>
      <c r="M4" s="8">
        <f>IF($M$2=TRUE,VLOOKUP(K4,G3:I15,3,0)-VLOOKUP(K4,G3:I15,2,0),NA())</f>
        <v>4977.4799999999886</v>
      </c>
      <c r="N4" s="13">
        <f>IF($N$2=TRUE,M4/VLOOKUP(K4,G3:I15,2,0),"")</f>
        <v>0.11482340999792356</v>
      </c>
      <c r="P4" s="15" t="s">
        <v>59</v>
      </c>
      <c r="Q4" s="15" t="s">
        <v>26</v>
      </c>
      <c r="R4" s="11">
        <v>11901.93</v>
      </c>
      <c r="S4" s="11">
        <v>105</v>
      </c>
      <c r="T4" s="11"/>
      <c r="U4" s="11" cm="1">
        <f t="array" aca="1" ref="U4:U48" ca="1">RANK(_xlfn.ANCHORARRAY(X4),_xlfn.ANCHORARRAY(X4))</f>
        <v>25</v>
      </c>
      <c r="V4" s="11" t="str" cm="1">
        <f t="array" aca="1" ref="V4:V48" ca="1">OFFSET($P$3,1,0,COUNT($R:$R))</f>
        <v>Product01</v>
      </c>
      <c r="W4" s="11" t="str" cm="1">
        <f t="array" aca="1" ref="W4:W48" ca="1">OFFSET($P$3,1,1,COUNT($R:$R))</f>
        <v>Kg</v>
      </c>
      <c r="X4" s="11" cm="1">
        <f t="array" aca="1" ref="X4:X48" ca="1">OFFSET($P$3,1,2,COUNT($R:$R))</f>
        <v>11901.93</v>
      </c>
      <c r="Y4" s="11" cm="1">
        <f t="array" aca="1" ref="Y4:Y48" ca="1">OFFSET($P$3,1,3,COUNT($R:$R))</f>
        <v>105</v>
      </c>
      <c r="Z4" s="11"/>
      <c r="AA4" s="11" t="str" cm="1">
        <f t="array" aca="1" ref="AA4:AA13" ca="1">OFFSET($P$3,$AC$1,0,10)</f>
        <v>Product31</v>
      </c>
      <c r="AB4" s="8" cm="1">
        <f t="array" aca="1" ref="AB4:AB13" ca="1">OFFSET($P$3,$AC$1,2,10)</f>
        <v>14110.08</v>
      </c>
      <c r="AC4" s="11"/>
      <c r="AD4" s="11"/>
      <c r="AF4" s="15" t="s">
        <v>43</v>
      </c>
      <c r="AG4" s="11">
        <v>80176.759999999995</v>
      </c>
      <c r="AH4" s="11"/>
      <c r="AI4">
        <f t="shared" ref="AI4:AI7" ca="1" si="0">RANK(AK4,_xlfn.ANCHORARRAY($AK$3))</f>
        <v>3</v>
      </c>
      <c r="AJ4" s="11" t="str">
        <f ca="1"/>
        <v>Category02</v>
      </c>
      <c r="AK4" s="8">
        <f ca="1"/>
        <v>111965.02</v>
      </c>
      <c r="AL4" s="11"/>
      <c r="AN4" s="15" t="s">
        <v>18</v>
      </c>
      <c r="AO4" s="11">
        <v>221918.55000000005</v>
      </c>
      <c r="AQ4" s="15" t="s">
        <v>23</v>
      </c>
      <c r="AR4" s="11">
        <v>297984.33999999979</v>
      </c>
    </row>
    <row r="5" spans="1:44" x14ac:dyDescent="0.25">
      <c r="A5" s="15">
        <v>2</v>
      </c>
      <c r="B5" s="8">
        <v>22019.070000000007</v>
      </c>
      <c r="G5" s="15" t="s">
        <v>123</v>
      </c>
      <c r="H5" s="11">
        <v>43670</v>
      </c>
      <c r="I5" s="11">
        <v>49234.25</v>
      </c>
      <c r="J5" s="11"/>
      <c r="K5" t="s">
        <v>123</v>
      </c>
      <c r="L5" s="8">
        <f t="shared" ref="L5:L15" si="1">IF($L$2=TRUE,VLOOKUP(K5,G4:I16,3,0),NA())</f>
        <v>49234.25</v>
      </c>
      <c r="M5" s="8">
        <f t="shared" ref="M5:M15" si="2">IF($M$2=TRUE,VLOOKUP(K5,G4:I16,3,0)-VLOOKUP(K5,G4:I16,2,0),NA())</f>
        <v>5564.25</v>
      </c>
      <c r="N5" s="13">
        <f t="shared" ref="N5:N15" si="3">IF($N$2=TRUE,M5/VLOOKUP(K5,G4:I16,2,0),"")</f>
        <v>0.12741584611861689</v>
      </c>
      <c r="P5" s="15" t="s">
        <v>109</v>
      </c>
      <c r="Q5" s="15" t="s">
        <v>26</v>
      </c>
      <c r="R5" s="11">
        <v>11928.019999999997</v>
      </c>
      <c r="S5" s="11">
        <v>159</v>
      </c>
      <c r="T5" s="11"/>
      <c r="U5" s="11">
        <f ca="1"/>
        <v>24</v>
      </c>
      <c r="V5" s="11" t="str">
        <f ca="1"/>
        <v>Product02</v>
      </c>
      <c r="W5" s="11" t="str">
        <f ca="1"/>
        <v>Kg</v>
      </c>
      <c r="X5" s="11">
        <f ca="1"/>
        <v>11928.019999999997</v>
      </c>
      <c r="Y5" s="11">
        <f ca="1"/>
        <v>159</v>
      </c>
      <c r="Z5" s="11"/>
      <c r="AA5" s="11" t="str">
        <f ca="1"/>
        <v>Product32</v>
      </c>
      <c r="AB5" s="8">
        <f ca="1"/>
        <v>11657.409999999998</v>
      </c>
      <c r="AC5" s="11"/>
      <c r="AD5" s="11"/>
      <c r="AF5" s="15" t="s">
        <v>25</v>
      </c>
      <c r="AG5" s="11">
        <v>111965.02</v>
      </c>
      <c r="AH5" s="11"/>
      <c r="AI5">
        <f t="shared" ca="1" si="0"/>
        <v>2</v>
      </c>
      <c r="AJ5" s="11" t="str">
        <f ca="1"/>
        <v>Category03</v>
      </c>
      <c r="AK5" s="8">
        <f ca="1"/>
        <v>154783.13000000003</v>
      </c>
      <c r="AL5" s="11"/>
      <c r="AN5" s="15" t="s">
        <v>13</v>
      </c>
      <c r="AO5" s="11">
        <v>280688.22000000003</v>
      </c>
      <c r="AQ5" s="15" t="s">
        <v>13</v>
      </c>
      <c r="AR5" s="11">
        <v>303511.10000000009</v>
      </c>
    </row>
    <row r="6" spans="1:44" x14ac:dyDescent="0.25">
      <c r="A6" s="15">
        <v>3</v>
      </c>
      <c r="B6" s="8">
        <v>16006.740000000002</v>
      </c>
      <c r="D6" t="s">
        <v>136</v>
      </c>
      <c r="E6" s="14">
        <f>Analysis!E4</f>
        <v>601495.43999999959</v>
      </c>
      <c r="G6" s="15" t="s">
        <v>124</v>
      </c>
      <c r="H6" s="11">
        <v>48246</v>
      </c>
      <c r="I6" s="11">
        <v>54296.280000000006</v>
      </c>
      <c r="J6" s="11"/>
      <c r="K6" t="s">
        <v>124</v>
      </c>
      <c r="L6" s="8">
        <f t="shared" si="1"/>
        <v>54296.280000000006</v>
      </c>
      <c r="M6" s="8">
        <f t="shared" si="2"/>
        <v>6050.2800000000061</v>
      </c>
      <c r="N6" s="13">
        <f t="shared" si="3"/>
        <v>0.12540480039796059</v>
      </c>
      <c r="P6" s="15" t="s">
        <v>55</v>
      </c>
      <c r="Q6" s="15" t="s">
        <v>26</v>
      </c>
      <c r="R6" s="11">
        <v>14403.96</v>
      </c>
      <c r="S6" s="11">
        <v>180</v>
      </c>
      <c r="T6" s="11"/>
      <c r="U6" s="11">
        <f ca="1"/>
        <v>18</v>
      </c>
      <c r="V6" s="11" t="str">
        <f ca="1"/>
        <v>Product03</v>
      </c>
      <c r="W6" s="11" t="str">
        <f ca="1"/>
        <v>Kg</v>
      </c>
      <c r="X6" s="11">
        <f ca="1"/>
        <v>14403.96</v>
      </c>
      <c r="Y6" s="11">
        <f ca="1"/>
        <v>180</v>
      </c>
      <c r="Z6" s="11"/>
      <c r="AA6" s="11" t="str">
        <f ca="1"/>
        <v>Product33</v>
      </c>
      <c r="AB6" s="8">
        <f ca="1"/>
        <v>1684.29</v>
      </c>
      <c r="AC6" s="11"/>
      <c r="AD6" s="11"/>
      <c r="AF6" s="15" t="s">
        <v>15</v>
      </c>
      <c r="AG6" s="11">
        <v>154783.13000000003</v>
      </c>
      <c r="AH6" s="11"/>
      <c r="AI6">
        <f t="shared" ca="1" si="0"/>
        <v>4</v>
      </c>
      <c r="AJ6" s="11" t="str">
        <f ca="1"/>
        <v>Category04</v>
      </c>
      <c r="AK6" s="8">
        <f ca="1"/>
        <v>88104.610000000015</v>
      </c>
      <c r="AL6" s="11"/>
      <c r="AN6" s="15" t="s">
        <v>12</v>
      </c>
      <c r="AO6" s="11">
        <v>98888.66999999994</v>
      </c>
    </row>
    <row r="7" spans="1:44" x14ac:dyDescent="0.25">
      <c r="A7" s="15">
        <v>4</v>
      </c>
      <c r="B7" s="8">
        <v>15090.789999999999</v>
      </c>
      <c r="D7" t="s">
        <v>137</v>
      </c>
      <c r="E7" s="14">
        <f>E4-D4</f>
        <v>65780.439999999595</v>
      </c>
      <c r="G7" s="15" t="s">
        <v>125</v>
      </c>
      <c r="H7" s="11">
        <v>44245</v>
      </c>
      <c r="I7" s="11">
        <v>49662.260000000009</v>
      </c>
      <c r="J7" s="11"/>
      <c r="K7" t="s">
        <v>125</v>
      </c>
      <c r="L7" s="8">
        <f t="shared" si="1"/>
        <v>49662.260000000009</v>
      </c>
      <c r="M7" s="8">
        <f t="shared" si="2"/>
        <v>5417.2600000000093</v>
      </c>
      <c r="N7" s="13">
        <f t="shared" si="3"/>
        <v>0.12243778958074379</v>
      </c>
      <c r="P7" s="15" t="s">
        <v>99</v>
      </c>
      <c r="Q7" s="15" t="s">
        <v>21</v>
      </c>
      <c r="R7" s="11">
        <v>8225.9500000000007</v>
      </c>
      <c r="S7" s="11">
        <v>160</v>
      </c>
      <c r="T7" s="11"/>
      <c r="U7" s="11">
        <f ca="1"/>
        <v>37</v>
      </c>
      <c r="V7" s="11" t="str">
        <f ca="1"/>
        <v>Product04</v>
      </c>
      <c r="W7" s="11" t="str">
        <f ca="1"/>
        <v>Lt</v>
      </c>
      <c r="X7" s="11">
        <f ca="1"/>
        <v>8225.9500000000007</v>
      </c>
      <c r="Y7" s="11">
        <f ca="1"/>
        <v>160</v>
      </c>
      <c r="Z7" s="11"/>
      <c r="AA7" s="11" t="str">
        <f ca="1"/>
        <v>Product34</v>
      </c>
      <c r="AB7" s="8">
        <f ca="1"/>
        <v>12535.070000000002</v>
      </c>
      <c r="AC7" s="11"/>
      <c r="AD7" s="11"/>
      <c r="AF7" s="15" t="s">
        <v>20</v>
      </c>
      <c r="AG7" s="11">
        <v>88104.610000000015</v>
      </c>
      <c r="AH7" s="11"/>
      <c r="AI7">
        <f t="shared" ca="1" si="0"/>
        <v>1</v>
      </c>
      <c r="AJ7" s="11" t="str">
        <f ca="1"/>
        <v>Category05</v>
      </c>
      <c r="AK7" s="8">
        <f ca="1"/>
        <v>166465.9200000001</v>
      </c>
      <c r="AL7" s="11"/>
    </row>
    <row r="8" spans="1:44" x14ac:dyDescent="0.25">
      <c r="A8" s="15">
        <v>5</v>
      </c>
      <c r="B8" s="8">
        <v>19610.640000000003</v>
      </c>
      <c r="D8" t="s">
        <v>138</v>
      </c>
      <c r="E8" s="12">
        <f>E7/D4</f>
        <v>0.12278999094667799</v>
      </c>
      <c r="G8" s="15" t="s">
        <v>120</v>
      </c>
      <c r="H8" s="11">
        <v>36821</v>
      </c>
      <c r="I8" s="11">
        <v>41457.110000000022</v>
      </c>
      <c r="J8" s="11"/>
      <c r="K8" t="s">
        <v>120</v>
      </c>
      <c r="L8" s="8">
        <f t="shared" si="1"/>
        <v>41457.110000000022</v>
      </c>
      <c r="M8" s="8">
        <f t="shared" si="2"/>
        <v>4636.1100000000224</v>
      </c>
      <c r="N8" s="13">
        <f t="shared" si="3"/>
        <v>0.12590939952744418</v>
      </c>
      <c r="P8" s="15" t="s">
        <v>71</v>
      </c>
      <c r="Q8" s="15" t="s">
        <v>21</v>
      </c>
      <c r="R8" s="11">
        <v>17085.239999999994</v>
      </c>
      <c r="S8" s="11">
        <v>283</v>
      </c>
      <c r="T8" s="11"/>
      <c r="U8" s="11">
        <f ca="1"/>
        <v>13</v>
      </c>
      <c r="V8" s="11" t="str">
        <f ca="1"/>
        <v>Product05</v>
      </c>
      <c r="W8" s="11" t="str">
        <f ca="1"/>
        <v>Lt</v>
      </c>
      <c r="X8" s="11">
        <f ca="1"/>
        <v>17085.239999999994</v>
      </c>
      <c r="Y8" s="11">
        <f ca="1"/>
        <v>283</v>
      </c>
      <c r="Z8" s="11"/>
      <c r="AA8" s="11" t="str">
        <f ca="1"/>
        <v>Product35</v>
      </c>
      <c r="AB8" s="8">
        <f ca="1"/>
        <v>837.30000000000007</v>
      </c>
      <c r="AC8" s="11"/>
      <c r="AD8" s="11"/>
      <c r="AF8" s="15" t="s">
        <v>33</v>
      </c>
      <c r="AG8" s="11">
        <v>166465.9200000001</v>
      </c>
      <c r="AH8" s="11"/>
      <c r="AI8" s="11"/>
      <c r="AJ8" s="11"/>
      <c r="AK8" s="11"/>
      <c r="AL8" s="11"/>
    </row>
    <row r="9" spans="1:44" x14ac:dyDescent="0.25">
      <c r="A9" s="15">
        <v>6</v>
      </c>
      <c r="B9" s="8">
        <v>14576.579999999996</v>
      </c>
      <c r="G9" s="15" t="s">
        <v>126</v>
      </c>
      <c r="H9" s="11">
        <v>43498</v>
      </c>
      <c r="I9" s="11">
        <v>49074.73</v>
      </c>
      <c r="J9" s="11"/>
      <c r="K9" t="s">
        <v>126</v>
      </c>
      <c r="L9" s="8">
        <f t="shared" si="1"/>
        <v>49074.73</v>
      </c>
      <c r="M9" s="8">
        <f t="shared" si="2"/>
        <v>5576.7300000000032</v>
      </c>
      <c r="N9" s="13">
        <f t="shared" si="3"/>
        <v>0.12820658421076839</v>
      </c>
      <c r="P9" s="15" t="s">
        <v>42</v>
      </c>
      <c r="Q9" s="15" t="s">
        <v>26</v>
      </c>
      <c r="R9" s="11">
        <v>16631.66</v>
      </c>
      <c r="S9" s="11">
        <v>199</v>
      </c>
      <c r="T9" s="11"/>
      <c r="U9" s="11">
        <f ca="1"/>
        <v>15</v>
      </c>
      <c r="V9" s="11" t="str">
        <f ca="1"/>
        <v>Product06</v>
      </c>
      <c r="W9" s="11" t="str">
        <f ca="1"/>
        <v>Kg</v>
      </c>
      <c r="X9" s="11">
        <f ca="1"/>
        <v>16631.66</v>
      </c>
      <c r="Y9" s="11">
        <f ca="1"/>
        <v>199</v>
      </c>
      <c r="Z9" s="11"/>
      <c r="AA9" s="11" t="str">
        <f ca="1"/>
        <v>Product36</v>
      </c>
      <c r="AB9" s="8">
        <f ca="1"/>
        <v>23423.93</v>
      </c>
      <c r="AC9" s="11"/>
      <c r="AD9" s="11"/>
    </row>
    <row r="10" spans="1:44" x14ac:dyDescent="0.25">
      <c r="A10" s="15">
        <v>7</v>
      </c>
      <c r="B10" s="8">
        <v>27337.030000000002</v>
      </c>
      <c r="G10" s="15" t="s">
        <v>127</v>
      </c>
      <c r="H10" s="11">
        <v>32466</v>
      </c>
      <c r="I10" s="11">
        <v>36408.019999999997</v>
      </c>
      <c r="J10" s="11"/>
      <c r="K10" t="s">
        <v>127</v>
      </c>
      <c r="L10" s="8">
        <f t="shared" si="1"/>
        <v>36408.019999999997</v>
      </c>
      <c r="M10" s="8">
        <f t="shared" si="2"/>
        <v>3942.0199999999968</v>
      </c>
      <c r="N10" s="13">
        <f t="shared" si="3"/>
        <v>0.12141994702149932</v>
      </c>
      <c r="P10" s="15" t="s">
        <v>101</v>
      </c>
      <c r="Q10" s="15" t="s">
        <v>26</v>
      </c>
      <c r="R10" s="11">
        <v>20729.599999999995</v>
      </c>
      <c r="S10" s="11">
        <v>199</v>
      </c>
      <c r="T10" s="11"/>
      <c r="U10" s="11">
        <f ca="1"/>
        <v>9</v>
      </c>
      <c r="V10" s="11" t="str">
        <f ca="1"/>
        <v>Product07</v>
      </c>
      <c r="W10" s="11" t="str">
        <f ca="1"/>
        <v>Kg</v>
      </c>
      <c r="X10" s="11">
        <f ca="1"/>
        <v>20729.599999999995</v>
      </c>
      <c r="Y10" s="11">
        <f ca="1"/>
        <v>199</v>
      </c>
      <c r="Z10" s="11"/>
      <c r="AA10" s="11" t="str">
        <f ca="1"/>
        <v>Product37</v>
      </c>
      <c r="AB10" s="8">
        <f ca="1"/>
        <v>12360.470000000001</v>
      </c>
      <c r="AC10" s="11"/>
      <c r="AD10" s="11"/>
    </row>
    <row r="11" spans="1:44" x14ac:dyDescent="0.25">
      <c r="A11" s="15">
        <v>8</v>
      </c>
      <c r="B11" s="8">
        <v>32615.180000000008</v>
      </c>
      <c r="G11" s="15" t="s">
        <v>128</v>
      </c>
      <c r="H11" s="11">
        <v>46610</v>
      </c>
      <c r="I11" s="11">
        <v>52437.020000000011</v>
      </c>
      <c r="J11" s="11"/>
      <c r="K11" t="s">
        <v>128</v>
      </c>
      <c r="L11" s="8">
        <f t="shared" si="1"/>
        <v>52437.020000000011</v>
      </c>
      <c r="M11" s="8">
        <f t="shared" si="2"/>
        <v>5827.0200000000114</v>
      </c>
      <c r="N11" s="13">
        <f t="shared" si="3"/>
        <v>0.12501652006007319</v>
      </c>
      <c r="P11" s="15" t="s">
        <v>65</v>
      </c>
      <c r="Q11" s="15" t="s">
        <v>26</v>
      </c>
      <c r="R11" s="11">
        <v>8518.7300000000014</v>
      </c>
      <c r="S11" s="11">
        <v>122</v>
      </c>
      <c r="T11" s="11"/>
      <c r="U11" s="11">
        <f ca="1"/>
        <v>34</v>
      </c>
      <c r="V11" s="11" t="str">
        <f ca="1"/>
        <v>Product08</v>
      </c>
      <c r="W11" s="11" t="str">
        <f ca="1"/>
        <v>Kg</v>
      </c>
      <c r="X11" s="11">
        <f ca="1"/>
        <v>8518.7300000000014</v>
      </c>
      <c r="Y11" s="11">
        <f ca="1"/>
        <v>122</v>
      </c>
      <c r="Z11" s="11"/>
      <c r="AA11" s="11" t="str">
        <f ca="1"/>
        <v>Product38</v>
      </c>
      <c r="AB11" s="8">
        <f ca="1"/>
        <v>11545.989999999998</v>
      </c>
      <c r="AC11" s="11"/>
      <c r="AD11" s="11"/>
    </row>
    <row r="12" spans="1:44" x14ac:dyDescent="0.25">
      <c r="A12" s="15">
        <v>9</v>
      </c>
      <c r="B12" s="8">
        <v>14204</v>
      </c>
      <c r="G12" s="15" t="s">
        <v>129</v>
      </c>
      <c r="H12" s="11">
        <v>41142</v>
      </c>
      <c r="I12" s="11">
        <v>45336.3</v>
      </c>
      <c r="J12" s="11"/>
      <c r="K12" t="s">
        <v>129</v>
      </c>
      <c r="L12" s="8">
        <f t="shared" si="1"/>
        <v>45336.3</v>
      </c>
      <c r="M12" s="8">
        <f t="shared" si="2"/>
        <v>4194.3000000000029</v>
      </c>
      <c r="N12" s="13">
        <f t="shared" si="3"/>
        <v>0.10194691556074092</v>
      </c>
      <c r="P12" s="15" t="s">
        <v>107</v>
      </c>
      <c r="Q12" s="15" t="s">
        <v>21</v>
      </c>
      <c r="R12" s="11">
        <v>3565.2999999999997</v>
      </c>
      <c r="S12" s="11">
        <v>79</v>
      </c>
      <c r="T12" s="11"/>
      <c r="U12" s="11">
        <f ca="1"/>
        <v>39</v>
      </c>
      <c r="V12" s="11" t="str">
        <f ca="1"/>
        <v>Product09</v>
      </c>
      <c r="W12" s="11" t="str">
        <f ca="1"/>
        <v>Lt</v>
      </c>
      <c r="X12" s="11">
        <f ca="1"/>
        <v>3565.2999999999997</v>
      </c>
      <c r="Y12" s="11">
        <f ca="1"/>
        <v>79</v>
      </c>
      <c r="Z12" s="11"/>
      <c r="AA12" s="11" t="str">
        <f ca="1"/>
        <v>Product39</v>
      </c>
      <c r="AB12" s="8">
        <f ca="1"/>
        <v>10074.65</v>
      </c>
      <c r="AC12" s="11"/>
      <c r="AD12" s="11"/>
    </row>
    <row r="13" spans="1:44" x14ac:dyDescent="0.25">
      <c r="A13" s="15">
        <v>10</v>
      </c>
      <c r="B13" s="8">
        <v>25998.660000000003</v>
      </c>
      <c r="G13" s="15" t="s">
        <v>130</v>
      </c>
      <c r="H13" s="11">
        <v>53433</v>
      </c>
      <c r="I13" s="11">
        <v>60131.469999999972</v>
      </c>
      <c r="J13" s="11"/>
      <c r="K13" t="s">
        <v>130</v>
      </c>
      <c r="L13" s="8">
        <f t="shared" si="1"/>
        <v>60131.469999999972</v>
      </c>
      <c r="M13" s="8">
        <f t="shared" si="2"/>
        <v>6698.4699999999721</v>
      </c>
      <c r="N13" s="13">
        <f t="shared" si="3"/>
        <v>0.12536204218366875</v>
      </c>
      <c r="P13" s="15" t="s">
        <v>77</v>
      </c>
      <c r="Q13" s="15" t="s">
        <v>26</v>
      </c>
      <c r="R13" s="11">
        <v>21625.989999999998</v>
      </c>
      <c r="S13" s="11">
        <v>174</v>
      </c>
      <c r="T13" s="11"/>
      <c r="U13" s="11">
        <f ca="1"/>
        <v>7</v>
      </c>
      <c r="V13" s="11" t="str">
        <f ca="1"/>
        <v>Product10</v>
      </c>
      <c r="W13" s="11" t="str">
        <f ca="1"/>
        <v>Kg</v>
      </c>
      <c r="X13" s="11">
        <f ca="1"/>
        <v>21625.989999999998</v>
      </c>
      <c r="Y13" s="11">
        <f ca="1"/>
        <v>174</v>
      </c>
      <c r="Z13" s="11"/>
      <c r="AA13" s="11" t="str">
        <f ca="1"/>
        <v>Product40</v>
      </c>
      <c r="AB13" s="8">
        <f ca="1"/>
        <v>26755.130000000005</v>
      </c>
      <c r="AC13" s="11"/>
      <c r="AD13" s="11"/>
    </row>
    <row r="14" spans="1:44" x14ac:dyDescent="0.25">
      <c r="A14" s="15">
        <v>11</v>
      </c>
      <c r="B14" s="8">
        <v>21730.020000000004</v>
      </c>
      <c r="G14" s="15" t="s">
        <v>131</v>
      </c>
      <c r="H14" s="11">
        <v>46986</v>
      </c>
      <c r="I14" s="11">
        <v>52803.610000000015</v>
      </c>
      <c r="J14" s="11"/>
      <c r="K14" t="s">
        <v>131</v>
      </c>
      <c r="L14" s="8">
        <f t="shared" si="1"/>
        <v>52803.610000000015</v>
      </c>
      <c r="M14" s="8">
        <f t="shared" si="2"/>
        <v>5817.6100000000151</v>
      </c>
      <c r="N14" s="13">
        <f t="shared" si="3"/>
        <v>0.12381581747754683</v>
      </c>
      <c r="P14" s="15" t="s">
        <v>28</v>
      </c>
      <c r="Q14" s="15" t="s">
        <v>26</v>
      </c>
      <c r="R14" s="11">
        <v>8279.4799999999977</v>
      </c>
      <c r="S14" s="11">
        <v>154</v>
      </c>
      <c r="T14" s="11"/>
      <c r="U14" s="11">
        <f ca="1"/>
        <v>36</v>
      </c>
      <c r="V14" s="11" t="str">
        <f ca="1"/>
        <v>Product11</v>
      </c>
      <c r="W14" s="11" t="str">
        <f ca="1"/>
        <v>Kg</v>
      </c>
      <c r="X14" s="11">
        <f ca="1"/>
        <v>8279.4799999999977</v>
      </c>
      <c r="Y14" s="11">
        <f ca="1"/>
        <v>154</v>
      </c>
      <c r="Z14" s="11"/>
      <c r="AA14" s="11"/>
      <c r="AB14" s="11"/>
      <c r="AC14" s="11"/>
      <c r="AD14" s="11"/>
    </row>
    <row r="15" spans="1:44" x14ac:dyDescent="0.25">
      <c r="A15" s="15">
        <v>12</v>
      </c>
      <c r="B15" s="8">
        <v>11954.630000000001</v>
      </c>
      <c r="G15" s="15" t="s">
        <v>132</v>
      </c>
      <c r="H15" s="11">
        <v>55249</v>
      </c>
      <c r="I15" s="11">
        <v>62327.909999999989</v>
      </c>
      <c r="J15" s="11"/>
      <c r="K15" t="s">
        <v>132</v>
      </c>
      <c r="L15" s="8">
        <f t="shared" si="1"/>
        <v>62327.909999999989</v>
      </c>
      <c r="M15" s="8">
        <f t="shared" si="2"/>
        <v>7078.9099999999889</v>
      </c>
      <c r="N15" s="13">
        <f t="shared" si="3"/>
        <v>0.12812738692103004</v>
      </c>
      <c r="P15" s="15" t="s">
        <v>53</v>
      </c>
      <c r="Q15" s="15" t="s">
        <v>21</v>
      </c>
      <c r="R15" s="11">
        <v>11109.330000000002</v>
      </c>
      <c r="S15" s="11">
        <v>167</v>
      </c>
      <c r="T15" s="11"/>
      <c r="U15" s="11">
        <f ca="1"/>
        <v>28</v>
      </c>
      <c r="V15" s="11" t="str">
        <f ca="1"/>
        <v>Product12</v>
      </c>
      <c r="W15" s="11" t="str">
        <f ca="1"/>
        <v>Lt</v>
      </c>
      <c r="X15" s="11">
        <f ca="1"/>
        <v>11109.330000000002</v>
      </c>
      <c r="Y15" s="11">
        <f ca="1"/>
        <v>167</v>
      </c>
      <c r="Z15" s="11"/>
      <c r="AA15" s="11"/>
      <c r="AB15" s="11"/>
      <c r="AC15" s="11"/>
      <c r="AD15" s="11"/>
    </row>
    <row r="16" spans="1:44" x14ac:dyDescent="0.25">
      <c r="A16" s="15">
        <v>13</v>
      </c>
      <c r="B16" s="8">
        <v>26725.38</v>
      </c>
      <c r="P16" s="15" t="s">
        <v>111</v>
      </c>
      <c r="Q16" s="15" t="s">
        <v>26</v>
      </c>
      <c r="R16" s="11">
        <v>13156.65</v>
      </c>
      <c r="S16" s="11">
        <v>105</v>
      </c>
      <c r="T16" s="11"/>
      <c r="U16" s="11">
        <f ca="1"/>
        <v>21</v>
      </c>
      <c r="V16" s="11" t="str">
        <f ca="1"/>
        <v>Product13</v>
      </c>
      <c r="W16" s="11" t="str">
        <f ca="1"/>
        <v>Kg</v>
      </c>
      <c r="X16" s="11">
        <f ca="1"/>
        <v>13156.65</v>
      </c>
      <c r="Y16" s="11">
        <f ca="1"/>
        <v>105</v>
      </c>
      <c r="Z16" s="11"/>
      <c r="AA16" s="11"/>
      <c r="AB16" s="11"/>
      <c r="AC16" s="11"/>
      <c r="AD16" s="11"/>
    </row>
    <row r="17" spans="1:30" x14ac:dyDescent="0.25">
      <c r="A17" s="15">
        <v>14</v>
      </c>
      <c r="B17" s="8">
        <v>17846.449999999997</v>
      </c>
      <c r="P17" s="15" t="s">
        <v>24</v>
      </c>
      <c r="Q17" s="15" t="s">
        <v>26</v>
      </c>
      <c r="R17" s="11">
        <v>24979.939999999995</v>
      </c>
      <c r="S17" s="11">
        <v>192</v>
      </c>
      <c r="T17" s="11"/>
      <c r="U17" s="11">
        <f ca="1"/>
        <v>5</v>
      </c>
      <c r="V17" s="11" t="str">
        <f ca="1"/>
        <v>Product14</v>
      </c>
      <c r="W17" s="11" t="str">
        <f ca="1"/>
        <v>Kg</v>
      </c>
      <c r="X17" s="11">
        <f ca="1"/>
        <v>24979.939999999995</v>
      </c>
      <c r="Y17" s="11">
        <f ca="1"/>
        <v>192</v>
      </c>
      <c r="Z17" s="11"/>
      <c r="AA17" s="11"/>
      <c r="AB17" s="11"/>
      <c r="AC17" s="11"/>
      <c r="AD17" s="11"/>
    </row>
    <row r="18" spans="1:30" x14ac:dyDescent="0.25">
      <c r="A18" s="15">
        <v>15</v>
      </c>
      <c r="B18" s="8">
        <v>19773.12</v>
      </c>
      <c r="P18" s="15" t="s">
        <v>69</v>
      </c>
      <c r="Q18" s="15" t="s">
        <v>38</v>
      </c>
      <c r="R18" s="11">
        <v>21461.72</v>
      </c>
      <c r="S18" s="11">
        <v>144</v>
      </c>
      <c r="T18" s="11"/>
      <c r="U18" s="11">
        <f ca="1"/>
        <v>8</v>
      </c>
      <c r="V18" s="11" t="str">
        <f ca="1"/>
        <v>Product15</v>
      </c>
      <c r="W18" s="11" t="str">
        <f ca="1"/>
        <v>Ft</v>
      </c>
      <c r="X18" s="11">
        <f ca="1"/>
        <v>21461.72</v>
      </c>
      <c r="Y18" s="11">
        <f ca="1"/>
        <v>144</v>
      </c>
      <c r="Z18" s="11"/>
      <c r="AA18" s="11"/>
      <c r="AB18" s="11"/>
      <c r="AC18" s="11"/>
      <c r="AD18" s="11"/>
    </row>
    <row r="19" spans="1:30" x14ac:dyDescent="0.25">
      <c r="A19" s="15">
        <v>16</v>
      </c>
      <c r="B19" s="8">
        <v>25044.900000000009</v>
      </c>
      <c r="P19" s="15" t="s">
        <v>63</v>
      </c>
      <c r="Q19" s="15" t="s">
        <v>38</v>
      </c>
      <c r="R19" s="11">
        <v>16869.289999999997</v>
      </c>
      <c r="S19" s="11">
        <v>156</v>
      </c>
      <c r="T19" s="11"/>
      <c r="U19" s="11">
        <f ca="1"/>
        <v>14</v>
      </c>
      <c r="V19" s="11" t="str">
        <f ca="1"/>
        <v>Product16</v>
      </c>
      <c r="W19" s="11" t="str">
        <f ca="1"/>
        <v>Ft</v>
      </c>
      <c r="X19" s="11">
        <f ca="1"/>
        <v>16869.289999999997</v>
      </c>
      <c r="Y19" s="11">
        <f ca="1"/>
        <v>156</v>
      </c>
      <c r="Z19" s="11"/>
      <c r="AA19" s="11"/>
      <c r="AB19" s="11"/>
      <c r="AC19" s="11"/>
      <c r="AD19" s="11"/>
    </row>
    <row r="20" spans="1:30" x14ac:dyDescent="0.25">
      <c r="A20" s="15">
        <v>17</v>
      </c>
      <c r="B20" s="8">
        <v>25596.699999999993</v>
      </c>
      <c r="P20" s="15" t="s">
        <v>30</v>
      </c>
      <c r="Q20" s="15" t="s">
        <v>16</v>
      </c>
      <c r="R20" s="11">
        <v>2290.7399999999998</v>
      </c>
      <c r="S20" s="11">
        <v>167</v>
      </c>
      <c r="T20" s="11"/>
      <c r="U20" s="11">
        <f ca="1"/>
        <v>40</v>
      </c>
      <c r="V20" s="11" t="str">
        <f ca="1"/>
        <v>Product17</v>
      </c>
      <c r="W20" s="11" t="str">
        <f ca="1"/>
        <v>No.</v>
      </c>
      <c r="X20" s="11">
        <f ca="1"/>
        <v>2290.7399999999998</v>
      </c>
      <c r="Y20" s="11">
        <f ca="1"/>
        <v>167</v>
      </c>
      <c r="Z20" s="11"/>
      <c r="AA20" s="11"/>
      <c r="AB20" s="11"/>
      <c r="AC20" s="11"/>
      <c r="AD20" s="11"/>
    </row>
    <row r="21" spans="1:30" x14ac:dyDescent="0.25">
      <c r="A21" s="15">
        <v>18</v>
      </c>
      <c r="B21" s="8">
        <v>11851.74</v>
      </c>
      <c r="P21" s="15" t="s">
        <v>47</v>
      </c>
      <c r="Q21" s="15" t="s">
        <v>16</v>
      </c>
      <c r="R21" s="11">
        <v>1591.4799999999998</v>
      </c>
      <c r="S21" s="11">
        <v>173</v>
      </c>
      <c r="T21" s="11"/>
      <c r="U21" s="11">
        <f ca="1"/>
        <v>43</v>
      </c>
      <c r="V21" s="11" t="str">
        <f ca="1"/>
        <v>Product18</v>
      </c>
      <c r="W21" s="11" t="str">
        <f ca="1"/>
        <v>No.</v>
      </c>
      <c r="X21" s="11">
        <f ca="1"/>
        <v>1591.4799999999998</v>
      </c>
      <c r="Y21" s="11">
        <f ca="1"/>
        <v>173</v>
      </c>
      <c r="Z21" s="11"/>
      <c r="AA21" s="11"/>
      <c r="AB21" s="11"/>
      <c r="AC21" s="11"/>
      <c r="AD21" s="11"/>
    </row>
    <row r="22" spans="1:30" x14ac:dyDescent="0.25">
      <c r="A22" s="15">
        <v>19</v>
      </c>
      <c r="B22" s="8">
        <v>27176.869999999995</v>
      </c>
      <c r="P22" s="15" t="s">
        <v>49</v>
      </c>
      <c r="Q22" s="15" t="s">
        <v>26</v>
      </c>
      <c r="R22" s="11">
        <v>11000.59</v>
      </c>
      <c r="S22" s="11">
        <v>143</v>
      </c>
      <c r="T22" s="11"/>
      <c r="U22" s="11">
        <f ca="1"/>
        <v>29</v>
      </c>
      <c r="V22" s="11" t="str">
        <f ca="1"/>
        <v>Product19</v>
      </c>
      <c r="W22" s="11" t="str">
        <f ca="1"/>
        <v>Kg</v>
      </c>
      <c r="X22" s="11">
        <f ca="1"/>
        <v>11000.59</v>
      </c>
      <c r="Y22" s="11">
        <f ca="1"/>
        <v>143</v>
      </c>
      <c r="Z22" s="11"/>
      <c r="AA22" s="11"/>
      <c r="AB22" s="11"/>
      <c r="AC22" s="11"/>
      <c r="AD22" s="11"/>
    </row>
    <row r="23" spans="1:30" x14ac:dyDescent="0.25">
      <c r="A23" s="15">
        <v>20</v>
      </c>
      <c r="B23" s="8">
        <v>16154.380000000003</v>
      </c>
      <c r="P23" s="15" t="s">
        <v>67</v>
      </c>
      <c r="Q23" s="15" t="s">
        <v>21</v>
      </c>
      <c r="R23" s="11">
        <v>10108.979999999998</v>
      </c>
      <c r="S23" s="11">
        <v>145</v>
      </c>
      <c r="T23" s="11"/>
      <c r="U23" s="11">
        <f ca="1"/>
        <v>31</v>
      </c>
      <c r="V23" s="11" t="str">
        <f ca="1"/>
        <v>Product20</v>
      </c>
      <c r="W23" s="11" t="str">
        <f ca="1"/>
        <v>Lt</v>
      </c>
      <c r="X23" s="11">
        <f ca="1"/>
        <v>10108.979999999998</v>
      </c>
      <c r="Y23" s="11">
        <f ca="1"/>
        <v>145</v>
      </c>
      <c r="Z23" s="11"/>
      <c r="AA23" s="11"/>
      <c r="AB23" s="11"/>
      <c r="AC23" s="11"/>
      <c r="AD23" s="11"/>
    </row>
    <row r="24" spans="1:30" x14ac:dyDescent="0.25">
      <c r="A24" s="15">
        <v>21</v>
      </c>
      <c r="B24" s="8">
        <v>14607.51</v>
      </c>
      <c r="P24" s="15" t="s">
        <v>61</v>
      </c>
      <c r="Q24" s="15" t="s">
        <v>26</v>
      </c>
      <c r="R24" s="11">
        <v>14877.239999999998</v>
      </c>
      <c r="S24" s="11">
        <v>156</v>
      </c>
      <c r="T24" s="11"/>
      <c r="U24" s="11">
        <f ca="1"/>
        <v>17</v>
      </c>
      <c r="V24" s="11" t="str">
        <f ca="1"/>
        <v>Product21</v>
      </c>
      <c r="W24" s="11" t="str">
        <f ca="1"/>
        <v>Kg</v>
      </c>
      <c r="X24" s="11">
        <f ca="1"/>
        <v>14877.239999999998</v>
      </c>
      <c r="Y24" s="11">
        <f ca="1"/>
        <v>156</v>
      </c>
      <c r="Z24" s="11"/>
      <c r="AA24" s="11"/>
      <c r="AB24" s="11"/>
      <c r="AC24" s="11"/>
      <c r="AD24" s="11"/>
    </row>
    <row r="25" spans="1:30" x14ac:dyDescent="0.25">
      <c r="A25" s="15">
        <v>22</v>
      </c>
      <c r="B25" s="8">
        <v>19450.559999999998</v>
      </c>
      <c r="P25" s="15" t="s">
        <v>45</v>
      </c>
      <c r="Q25" s="15" t="s">
        <v>38</v>
      </c>
      <c r="R25" s="11">
        <v>18613.12</v>
      </c>
      <c r="S25" s="11">
        <v>145</v>
      </c>
      <c r="T25" s="11"/>
      <c r="U25" s="11">
        <f ca="1"/>
        <v>10</v>
      </c>
      <c r="V25" s="11" t="str">
        <f ca="1"/>
        <v>Product22</v>
      </c>
      <c r="W25" s="11" t="str">
        <f ca="1"/>
        <v>Ft</v>
      </c>
      <c r="X25" s="11">
        <f ca="1"/>
        <v>18613.12</v>
      </c>
      <c r="Y25" s="11">
        <f ca="1"/>
        <v>145</v>
      </c>
      <c r="Z25" s="11"/>
      <c r="AA25" s="11"/>
      <c r="AB25" s="11"/>
      <c r="AC25" s="11"/>
      <c r="AD25" s="11"/>
    </row>
    <row r="26" spans="1:30" x14ac:dyDescent="0.25">
      <c r="A26" s="15">
        <v>23</v>
      </c>
      <c r="B26" s="8">
        <v>22767.709999999992</v>
      </c>
      <c r="P26" s="15" t="s">
        <v>37</v>
      </c>
      <c r="Q26" s="15" t="s">
        <v>38</v>
      </c>
      <c r="R26" s="11">
        <v>29126.020000000008</v>
      </c>
      <c r="S26" s="11">
        <v>180</v>
      </c>
      <c r="T26" s="11"/>
      <c r="U26" s="11">
        <f ca="1"/>
        <v>2</v>
      </c>
      <c r="V26" s="11" t="str">
        <f ca="1"/>
        <v>Product23</v>
      </c>
      <c r="W26" s="11" t="str">
        <f ca="1"/>
        <v>Ft</v>
      </c>
      <c r="X26" s="11">
        <f ca="1"/>
        <v>29126.020000000008</v>
      </c>
      <c r="Y26" s="11">
        <f ca="1"/>
        <v>180</v>
      </c>
      <c r="Z26" s="11"/>
      <c r="AA26" s="11"/>
      <c r="AB26" s="11"/>
      <c r="AC26" s="11"/>
      <c r="AD26" s="11"/>
    </row>
    <row r="27" spans="1:30" x14ac:dyDescent="0.25">
      <c r="A27" s="15">
        <v>24</v>
      </c>
      <c r="B27" s="8">
        <v>20803.500000000004</v>
      </c>
      <c r="P27" s="15" t="s">
        <v>103</v>
      </c>
      <c r="Q27" s="15" t="s">
        <v>38</v>
      </c>
      <c r="R27" s="11">
        <v>26869.659999999996</v>
      </c>
      <c r="S27" s="11">
        <v>160</v>
      </c>
      <c r="T27" s="11"/>
      <c r="U27" s="11">
        <f ca="1"/>
        <v>3</v>
      </c>
      <c r="V27" s="11" t="str">
        <f ca="1"/>
        <v>Product24</v>
      </c>
      <c r="W27" s="11" t="str">
        <f ca="1"/>
        <v>Ft</v>
      </c>
      <c r="X27" s="11">
        <f ca="1"/>
        <v>26869.659999999996</v>
      </c>
      <c r="Y27" s="11">
        <f ca="1"/>
        <v>160</v>
      </c>
      <c r="Z27" s="11"/>
      <c r="AA27" s="11"/>
      <c r="AB27" s="11"/>
      <c r="AC27" s="11"/>
      <c r="AD27" s="11"/>
    </row>
    <row r="28" spans="1:30" x14ac:dyDescent="0.25">
      <c r="A28" s="15">
        <v>25</v>
      </c>
      <c r="B28" s="8">
        <v>12994.789999999999</v>
      </c>
      <c r="P28" s="15" t="s">
        <v>14</v>
      </c>
      <c r="Q28" s="15" t="s">
        <v>16</v>
      </c>
      <c r="R28" s="11">
        <v>1974.29</v>
      </c>
      <c r="S28" s="11">
        <v>248</v>
      </c>
      <c r="T28" s="11"/>
      <c r="U28" s="11">
        <f ca="1"/>
        <v>41</v>
      </c>
      <c r="V28" s="11" t="str">
        <f ca="1"/>
        <v>Product25</v>
      </c>
      <c r="W28" s="11" t="str">
        <f ca="1"/>
        <v>No.</v>
      </c>
      <c r="X28" s="11">
        <f ca="1"/>
        <v>1974.29</v>
      </c>
      <c r="Y28" s="11">
        <f ca="1"/>
        <v>248</v>
      </c>
      <c r="Z28" s="11"/>
      <c r="AA28" s="11"/>
      <c r="AB28" s="11"/>
      <c r="AC28" s="11"/>
      <c r="AD28" s="11"/>
    </row>
    <row r="29" spans="1:30" x14ac:dyDescent="0.25">
      <c r="A29" s="15">
        <v>26</v>
      </c>
      <c r="B29" s="8">
        <v>17742.430000000004</v>
      </c>
      <c r="P29" s="15" t="s">
        <v>95</v>
      </c>
      <c r="Q29" s="15" t="s">
        <v>26</v>
      </c>
      <c r="R29" s="11">
        <v>10601.29</v>
      </c>
      <c r="S29" s="11">
        <v>164</v>
      </c>
      <c r="T29" s="11"/>
      <c r="U29" s="11">
        <f ca="1"/>
        <v>30</v>
      </c>
      <c r="V29" s="11" t="str">
        <f ca="1"/>
        <v>Product26</v>
      </c>
      <c r="W29" s="11" t="str">
        <f ca="1"/>
        <v>Kg</v>
      </c>
      <c r="X29" s="11">
        <f ca="1"/>
        <v>10601.29</v>
      </c>
      <c r="Y29" s="11">
        <f ca="1"/>
        <v>164</v>
      </c>
      <c r="Z29" s="11"/>
      <c r="AA29" s="11"/>
      <c r="AB29" s="11"/>
      <c r="AC29" s="11"/>
      <c r="AD29" s="11"/>
    </row>
    <row r="30" spans="1:30" x14ac:dyDescent="0.25">
      <c r="A30" s="15">
        <v>27</v>
      </c>
      <c r="B30" s="8">
        <v>15266.849999999999</v>
      </c>
      <c r="P30" s="15" t="s">
        <v>19</v>
      </c>
      <c r="Q30" s="15" t="s">
        <v>21</v>
      </c>
      <c r="R30" s="11">
        <v>9497.0199999999986</v>
      </c>
      <c r="S30" s="11">
        <v>174</v>
      </c>
      <c r="T30" s="11"/>
      <c r="U30" s="11">
        <f ca="1"/>
        <v>33</v>
      </c>
      <c r="V30" s="11" t="str">
        <f ca="1"/>
        <v>Product27</v>
      </c>
      <c r="W30" s="11" t="str">
        <f ca="1"/>
        <v>Lt</v>
      </c>
      <c r="X30" s="11">
        <f ca="1"/>
        <v>9497.0199999999986</v>
      </c>
      <c r="Y30" s="11">
        <f ca="1"/>
        <v>174</v>
      </c>
      <c r="Z30" s="11"/>
      <c r="AA30" s="11"/>
      <c r="AB30" s="11"/>
      <c r="AC30" s="11"/>
      <c r="AD30" s="11"/>
    </row>
    <row r="31" spans="1:30" x14ac:dyDescent="0.25">
      <c r="A31" s="15">
        <v>28</v>
      </c>
      <c r="B31" s="8">
        <v>24204.75</v>
      </c>
      <c r="P31" s="15" t="s">
        <v>87</v>
      </c>
      <c r="Q31" s="15" t="s">
        <v>21</v>
      </c>
      <c r="R31" s="11">
        <v>5403.7100000000009</v>
      </c>
      <c r="S31" s="11">
        <v>90</v>
      </c>
      <c r="T31" s="11"/>
      <c r="U31" s="11">
        <f ca="1"/>
        <v>38</v>
      </c>
      <c r="V31" s="11" t="str">
        <f ca="1"/>
        <v>Product28</v>
      </c>
      <c r="W31" s="11" t="str">
        <f ca="1"/>
        <v>Lt</v>
      </c>
      <c r="X31" s="11">
        <f ca="1"/>
        <v>5403.7100000000009</v>
      </c>
      <c r="Y31" s="11">
        <f ca="1"/>
        <v>90</v>
      </c>
      <c r="Z31" s="11"/>
      <c r="AA31" s="11"/>
      <c r="AB31" s="11"/>
      <c r="AC31" s="11"/>
      <c r="AD31" s="11"/>
    </row>
    <row r="32" spans="1:30" x14ac:dyDescent="0.25">
      <c r="A32" s="15">
        <v>29</v>
      </c>
      <c r="B32" s="8">
        <v>21087.449999999997</v>
      </c>
      <c r="P32" s="15" t="s">
        <v>75</v>
      </c>
      <c r="Q32" s="15" t="s">
        <v>21</v>
      </c>
      <c r="R32" s="11">
        <v>8390.42</v>
      </c>
      <c r="S32" s="11">
        <v>152</v>
      </c>
      <c r="T32" s="11"/>
      <c r="U32" s="11">
        <f ca="1"/>
        <v>35</v>
      </c>
      <c r="V32" s="11" t="str">
        <f ca="1"/>
        <v>Product29</v>
      </c>
      <c r="W32" s="11" t="str">
        <f ca="1"/>
        <v>Lt</v>
      </c>
      <c r="X32" s="11">
        <f ca="1"/>
        <v>8390.42</v>
      </c>
      <c r="Y32" s="11">
        <f ca="1"/>
        <v>152</v>
      </c>
      <c r="Z32" s="11"/>
      <c r="AA32" s="11"/>
      <c r="AB32" s="11"/>
      <c r="AC32" s="11"/>
      <c r="AD32" s="11"/>
    </row>
    <row r="33" spans="1:30" x14ac:dyDescent="0.25">
      <c r="A33" s="15">
        <v>30</v>
      </c>
      <c r="B33" s="8">
        <v>13728.130000000001</v>
      </c>
      <c r="P33" s="15" t="s">
        <v>57</v>
      </c>
      <c r="Q33" s="15" t="s">
        <v>26</v>
      </c>
      <c r="R33" s="11">
        <v>13388.019999999999</v>
      </c>
      <c r="S33" s="11">
        <v>146</v>
      </c>
      <c r="T33" s="11"/>
      <c r="U33" s="11">
        <f ca="1"/>
        <v>20</v>
      </c>
      <c r="V33" s="11" t="str">
        <f ca="1"/>
        <v>Product30</v>
      </c>
      <c r="W33" s="11" t="str">
        <f ca="1"/>
        <v>Kg</v>
      </c>
      <c r="X33" s="11">
        <f ca="1"/>
        <v>13388.019999999999</v>
      </c>
      <c r="Y33" s="11">
        <f ca="1"/>
        <v>146</v>
      </c>
      <c r="Z33" s="11"/>
      <c r="AA33" s="11"/>
      <c r="AB33" s="11"/>
      <c r="AC33" s="11"/>
      <c r="AD33" s="11"/>
    </row>
    <row r="34" spans="1:30" x14ac:dyDescent="0.25">
      <c r="A34" s="15">
        <v>31</v>
      </c>
      <c r="B34" s="8">
        <v>12791.270000000004</v>
      </c>
      <c r="P34" s="15" t="s">
        <v>81</v>
      </c>
      <c r="Q34" s="15" t="s">
        <v>26</v>
      </c>
      <c r="R34" s="11">
        <v>14110.08</v>
      </c>
      <c r="S34" s="11">
        <v>129</v>
      </c>
      <c r="T34" s="11"/>
      <c r="U34" s="11">
        <f ca="1"/>
        <v>19</v>
      </c>
      <c r="V34" s="11" t="str">
        <f ca="1"/>
        <v>Product31</v>
      </c>
      <c r="W34" s="11" t="str">
        <f ca="1"/>
        <v>Kg</v>
      </c>
      <c r="X34" s="11">
        <f ca="1"/>
        <v>14110.08</v>
      </c>
      <c r="Y34" s="11">
        <f ca="1"/>
        <v>129</v>
      </c>
      <c r="Z34" s="11"/>
      <c r="AA34" s="11"/>
      <c r="AB34" s="11"/>
      <c r="AC34" s="11"/>
      <c r="AD34" s="11"/>
    </row>
    <row r="35" spans="1:30" x14ac:dyDescent="0.25">
      <c r="P35" s="15" t="s">
        <v>91</v>
      </c>
      <c r="Q35" s="15" t="s">
        <v>26</v>
      </c>
      <c r="R35" s="11">
        <v>11657.409999999998</v>
      </c>
      <c r="S35" s="11">
        <v>112</v>
      </c>
      <c r="T35" s="11"/>
      <c r="U35" s="11">
        <f ca="1"/>
        <v>26</v>
      </c>
      <c r="V35" s="11" t="str">
        <f ca="1"/>
        <v>Product32</v>
      </c>
      <c r="W35" s="11" t="str">
        <f ca="1"/>
        <v>Kg</v>
      </c>
      <c r="X35" s="11">
        <f ca="1"/>
        <v>11657.409999999998</v>
      </c>
      <c r="Y35" s="11">
        <f ca="1"/>
        <v>112</v>
      </c>
      <c r="Z35" s="11"/>
      <c r="AA35" s="11"/>
      <c r="AB35" s="11"/>
      <c r="AC35" s="11"/>
      <c r="AD35" s="11"/>
    </row>
    <row r="36" spans="1:30" x14ac:dyDescent="0.25">
      <c r="P36" s="15" t="s">
        <v>113</v>
      </c>
      <c r="Q36" s="15" t="s">
        <v>16</v>
      </c>
      <c r="R36" s="11">
        <v>1684.29</v>
      </c>
      <c r="S36" s="11">
        <v>164</v>
      </c>
      <c r="T36" s="11"/>
      <c r="U36" s="11">
        <f ca="1"/>
        <v>42</v>
      </c>
      <c r="V36" s="11" t="str">
        <f ca="1"/>
        <v>Product33</v>
      </c>
      <c r="W36" s="11" t="str">
        <f ca="1"/>
        <v>No.</v>
      </c>
      <c r="X36" s="11">
        <f ca="1"/>
        <v>1684.29</v>
      </c>
      <c r="Y36" s="11">
        <f ca="1"/>
        <v>164</v>
      </c>
      <c r="Z36" s="11"/>
      <c r="AA36" s="11"/>
      <c r="AB36" s="11"/>
      <c r="AC36" s="11"/>
      <c r="AD36" s="11"/>
    </row>
    <row r="37" spans="1:30" x14ac:dyDescent="0.25">
      <c r="P37" s="15" t="s">
        <v>97</v>
      </c>
      <c r="Q37" s="15" t="s">
        <v>21</v>
      </c>
      <c r="R37" s="11">
        <v>12535.070000000002</v>
      </c>
      <c r="S37" s="11">
        <v>196</v>
      </c>
      <c r="T37" s="11"/>
      <c r="U37" s="11">
        <f ca="1"/>
        <v>22</v>
      </c>
      <c r="V37" s="11" t="str">
        <f ca="1"/>
        <v>Product34</v>
      </c>
      <c r="W37" s="11" t="str">
        <f ca="1"/>
        <v>Lt</v>
      </c>
      <c r="X37" s="11">
        <f ca="1"/>
        <v>12535.070000000002</v>
      </c>
      <c r="Y37" s="11">
        <f ca="1"/>
        <v>196</v>
      </c>
      <c r="Z37" s="11"/>
      <c r="AA37" s="11"/>
      <c r="AB37" s="11"/>
      <c r="AC37" s="11"/>
      <c r="AD37" s="11"/>
    </row>
    <row r="38" spans="1:30" x14ac:dyDescent="0.25">
      <c r="P38" s="15" t="s">
        <v>35</v>
      </c>
      <c r="Q38" s="15" t="s">
        <v>16</v>
      </c>
      <c r="R38" s="11">
        <v>837.30000000000007</v>
      </c>
      <c r="S38" s="11">
        <v>147</v>
      </c>
      <c r="T38" s="11"/>
      <c r="U38" s="11">
        <f ca="1"/>
        <v>45</v>
      </c>
      <c r="V38" s="11" t="str">
        <f ca="1"/>
        <v>Product35</v>
      </c>
      <c r="W38" s="11" t="str">
        <f ca="1"/>
        <v>No.</v>
      </c>
      <c r="X38" s="11">
        <f ca="1"/>
        <v>837.30000000000007</v>
      </c>
      <c r="Y38" s="11">
        <f ca="1"/>
        <v>147</v>
      </c>
      <c r="Z38" s="11"/>
      <c r="AA38" s="11"/>
      <c r="AB38" s="11"/>
      <c r="AC38" s="11"/>
      <c r="AD38" s="11"/>
    </row>
    <row r="39" spans="1:30" x14ac:dyDescent="0.25">
      <c r="P39" s="15" t="s">
        <v>51</v>
      </c>
      <c r="Q39" s="15" t="s">
        <v>26</v>
      </c>
      <c r="R39" s="11">
        <v>23423.93</v>
      </c>
      <c r="S39" s="11">
        <v>195</v>
      </c>
      <c r="T39" s="11"/>
      <c r="U39" s="11">
        <f ca="1"/>
        <v>6</v>
      </c>
      <c r="V39" s="11" t="str">
        <f ca="1"/>
        <v>Product36</v>
      </c>
      <c r="W39" s="11" t="str">
        <f ca="1"/>
        <v>Kg</v>
      </c>
      <c r="X39" s="11">
        <f ca="1"/>
        <v>23423.93</v>
      </c>
      <c r="Y39" s="11">
        <f ca="1"/>
        <v>195</v>
      </c>
      <c r="Z39" s="11"/>
      <c r="AA39" s="11"/>
      <c r="AB39" s="11"/>
      <c r="AC39" s="11"/>
      <c r="AD39" s="11"/>
    </row>
    <row r="40" spans="1:30" x14ac:dyDescent="0.25">
      <c r="P40" s="15" t="s">
        <v>73</v>
      </c>
      <c r="Q40" s="15" t="s">
        <v>26</v>
      </c>
      <c r="R40" s="11">
        <v>12360.470000000001</v>
      </c>
      <c r="S40" s="11">
        <v>162</v>
      </c>
      <c r="T40" s="11"/>
      <c r="U40" s="11">
        <f ca="1"/>
        <v>23</v>
      </c>
      <c r="V40" s="11" t="str">
        <f ca="1"/>
        <v>Product37</v>
      </c>
      <c r="W40" s="11" t="str">
        <f ca="1"/>
        <v>Kg</v>
      </c>
      <c r="X40" s="11">
        <f ca="1"/>
        <v>12360.470000000001</v>
      </c>
      <c r="Y40" s="11">
        <f ca="1"/>
        <v>162</v>
      </c>
      <c r="Z40" s="11"/>
      <c r="AA40" s="11"/>
      <c r="AB40" s="11"/>
      <c r="AC40" s="11"/>
      <c r="AD40" s="11"/>
    </row>
    <row r="41" spans="1:30" x14ac:dyDescent="0.25">
      <c r="P41" s="15" t="s">
        <v>93</v>
      </c>
      <c r="Q41" s="15" t="s">
        <v>26</v>
      </c>
      <c r="R41" s="11">
        <v>11545.989999999998</v>
      </c>
      <c r="S41" s="11">
        <v>135</v>
      </c>
      <c r="T41" s="11"/>
      <c r="U41" s="11">
        <f ca="1"/>
        <v>27</v>
      </c>
      <c r="V41" s="11" t="str">
        <f ca="1"/>
        <v>Product38</v>
      </c>
      <c r="W41" s="11" t="str">
        <f ca="1"/>
        <v>Kg</v>
      </c>
      <c r="X41" s="11">
        <f ca="1"/>
        <v>11545.989999999998</v>
      </c>
      <c r="Y41" s="11">
        <f ca="1"/>
        <v>135</v>
      </c>
      <c r="Z41" s="11"/>
      <c r="AA41" s="11"/>
      <c r="AB41" s="11"/>
      <c r="AC41" s="11"/>
      <c r="AD41" s="11"/>
    </row>
    <row r="42" spans="1:30" x14ac:dyDescent="0.25">
      <c r="P42" s="15" t="s">
        <v>79</v>
      </c>
      <c r="Q42" s="15" t="s">
        <v>21</v>
      </c>
      <c r="R42" s="11">
        <v>10074.65</v>
      </c>
      <c r="S42" s="11">
        <v>210</v>
      </c>
      <c r="T42" s="11"/>
      <c r="U42" s="11">
        <f ca="1"/>
        <v>32</v>
      </c>
      <c r="V42" s="11" t="str">
        <f ca="1"/>
        <v>Product39</v>
      </c>
      <c r="W42" s="11" t="str">
        <f ca="1"/>
        <v>Lt</v>
      </c>
      <c r="X42" s="11">
        <f ca="1"/>
        <v>10074.65</v>
      </c>
      <c r="Y42" s="11">
        <f ca="1"/>
        <v>210</v>
      </c>
      <c r="Z42" s="11"/>
      <c r="AA42" s="11"/>
      <c r="AB42" s="11"/>
      <c r="AC42" s="11"/>
      <c r="AD42" s="11"/>
    </row>
    <row r="43" spans="1:30" x14ac:dyDescent="0.25">
      <c r="P43" s="15" t="s">
        <v>105</v>
      </c>
      <c r="Q43" s="15" t="s">
        <v>26</v>
      </c>
      <c r="R43" s="11">
        <v>26755.130000000005</v>
      </c>
      <c r="S43" s="11">
        <v>259</v>
      </c>
      <c r="T43" s="11"/>
      <c r="U43" s="11">
        <f ca="1"/>
        <v>4</v>
      </c>
      <c r="V43" s="11" t="str">
        <f ca="1"/>
        <v>Product40</v>
      </c>
      <c r="W43" s="11" t="str">
        <f ca="1"/>
        <v>Kg</v>
      </c>
      <c r="X43" s="11">
        <f ca="1"/>
        <v>26755.130000000005</v>
      </c>
      <c r="Y43" s="11">
        <f ca="1"/>
        <v>259</v>
      </c>
      <c r="Z43" s="11"/>
      <c r="AA43" s="11"/>
      <c r="AB43" s="11"/>
      <c r="AC43" s="11"/>
      <c r="AD43" s="11"/>
    </row>
    <row r="44" spans="1:30" x14ac:dyDescent="0.25">
      <c r="P44" s="15" t="s">
        <v>40</v>
      </c>
      <c r="Q44" s="15" t="s">
        <v>38</v>
      </c>
      <c r="R44" s="11">
        <v>15562.1</v>
      </c>
      <c r="S44" s="11">
        <v>138</v>
      </c>
      <c r="T44" s="11"/>
      <c r="U44" s="11">
        <f ca="1"/>
        <v>16</v>
      </c>
      <c r="V44" s="11" t="str">
        <f ca="1"/>
        <v>Product41</v>
      </c>
      <c r="W44" s="11" t="str">
        <f ca="1"/>
        <v>Ft</v>
      </c>
      <c r="X44" s="11">
        <f ca="1"/>
        <v>15562.1</v>
      </c>
      <c r="Y44" s="11">
        <f ca="1"/>
        <v>138</v>
      </c>
      <c r="Z44" s="11"/>
      <c r="AA44" s="11"/>
      <c r="AB44" s="11"/>
      <c r="AC44" s="11"/>
      <c r="AD44" s="11"/>
    </row>
    <row r="45" spans="1:30" x14ac:dyDescent="0.25">
      <c r="P45" s="15" t="s">
        <v>85</v>
      </c>
      <c r="Q45" s="15" t="s">
        <v>38</v>
      </c>
      <c r="R45" s="11">
        <v>29262.25</v>
      </c>
      <c r="S45" s="11">
        <v>212</v>
      </c>
      <c r="T45" s="11"/>
      <c r="U45" s="11">
        <f ca="1"/>
        <v>1</v>
      </c>
      <c r="V45" s="11" t="str">
        <f ca="1"/>
        <v>Product42</v>
      </c>
      <c r="W45" s="11" t="str">
        <f ca="1"/>
        <v>Ft</v>
      </c>
      <c r="X45" s="11">
        <f ca="1"/>
        <v>29262.25</v>
      </c>
      <c r="Y45" s="11">
        <f ca="1"/>
        <v>212</v>
      </c>
      <c r="Z45" s="11"/>
      <c r="AA45" s="11"/>
      <c r="AB45" s="11"/>
      <c r="AC45" s="11"/>
      <c r="AD45" s="11"/>
    </row>
    <row r="46" spans="1:30" x14ac:dyDescent="0.25">
      <c r="P46" s="15" t="s">
        <v>83</v>
      </c>
      <c r="Q46" s="15" t="s">
        <v>16</v>
      </c>
      <c r="R46" s="11">
        <v>1463.8999999999999</v>
      </c>
      <c r="S46" s="11">
        <v>116</v>
      </c>
      <c r="T46" s="11"/>
      <c r="U46" s="11">
        <f ca="1"/>
        <v>44</v>
      </c>
      <c r="V46" s="11" t="str">
        <f ca="1"/>
        <v>Product43</v>
      </c>
      <c r="W46" s="11" t="str">
        <f ca="1"/>
        <v>No.</v>
      </c>
      <c r="X46" s="11">
        <f ca="1"/>
        <v>1463.8999999999999</v>
      </c>
      <c r="Y46" s="11">
        <f ca="1"/>
        <v>116</v>
      </c>
      <c r="Z46" s="11"/>
      <c r="AA46" s="11"/>
      <c r="AB46" s="11"/>
      <c r="AC46" s="11"/>
      <c r="AD46" s="11"/>
    </row>
    <row r="47" spans="1:30" x14ac:dyDescent="0.25">
      <c r="P47" s="15" t="s">
        <v>89</v>
      </c>
      <c r="Q47" s="15" t="s">
        <v>26</v>
      </c>
      <c r="R47" s="11">
        <v>17447.489999999998</v>
      </c>
      <c r="S47" s="11">
        <v>202</v>
      </c>
      <c r="T47" s="11"/>
      <c r="U47" s="11">
        <f ca="1"/>
        <v>12</v>
      </c>
      <c r="V47" s="11" t="str">
        <f ca="1"/>
        <v>Product44</v>
      </c>
      <c r="W47" s="11" t="str">
        <f ca="1"/>
        <v>Kg</v>
      </c>
      <c r="X47" s="11">
        <f ca="1"/>
        <v>17447.489999999998</v>
      </c>
      <c r="Y47" s="11">
        <f ca="1"/>
        <v>202</v>
      </c>
      <c r="Z47" s="11"/>
      <c r="AA47" s="11"/>
      <c r="AB47" s="11"/>
      <c r="AC47" s="11"/>
      <c r="AD47" s="11"/>
    </row>
    <row r="48" spans="1:30" x14ac:dyDescent="0.25">
      <c r="P48" s="15" t="s">
        <v>32</v>
      </c>
      <c r="Q48" s="15" t="s">
        <v>21</v>
      </c>
      <c r="R48" s="11">
        <v>18570.010000000002</v>
      </c>
      <c r="S48" s="11">
        <v>252</v>
      </c>
      <c r="T48" s="11"/>
      <c r="U48" s="11">
        <f ca="1"/>
        <v>11</v>
      </c>
      <c r="V48" s="11" t="str">
        <f ca="1"/>
        <v>Product45</v>
      </c>
      <c r="W48" s="11" t="str">
        <f ca="1"/>
        <v>Lt</v>
      </c>
      <c r="X48" s="11">
        <f ca="1"/>
        <v>18570.010000000002</v>
      </c>
      <c r="Y48" s="11">
        <f ca="1"/>
        <v>252</v>
      </c>
      <c r="Z48" s="11"/>
      <c r="AA48" s="11"/>
      <c r="AB48" s="11"/>
      <c r="AC48" s="11"/>
      <c r="AD48" s="11"/>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1025" r:id="rId11" name="Check Box 1">
              <controlPr defaultSize="0" autoFill="0" autoLine="0" autoPict="0">
                <anchor moveWithCells="1">
                  <from>
                    <xdr:col>8</xdr:col>
                    <xdr:colOff>447675</xdr:colOff>
                    <xdr:row>16</xdr:row>
                    <xdr:rowOff>171450</xdr:rowOff>
                  </from>
                  <to>
                    <xdr:col>8</xdr:col>
                    <xdr:colOff>1000125</xdr:colOff>
                    <xdr:row>18</xdr:row>
                    <xdr:rowOff>171450</xdr:rowOff>
                  </to>
                </anchor>
              </controlPr>
            </control>
          </mc:Choice>
        </mc:AlternateContent>
        <mc:AlternateContent xmlns:mc="http://schemas.openxmlformats.org/markup-compatibility/2006">
          <mc:Choice Requires="x14">
            <control shapeId="1026" r:id="rId12" name="Check Box 2">
              <controlPr defaultSize="0" autoFill="0" autoLine="0" autoPict="0">
                <anchor moveWithCells="1">
                  <from>
                    <xdr:col>8</xdr:col>
                    <xdr:colOff>1085850</xdr:colOff>
                    <xdr:row>16</xdr:row>
                    <xdr:rowOff>85725</xdr:rowOff>
                  </from>
                  <to>
                    <xdr:col>9</xdr:col>
                    <xdr:colOff>9525</xdr:colOff>
                    <xdr:row>18</xdr:row>
                    <xdr:rowOff>95250</xdr:rowOff>
                  </to>
                </anchor>
              </controlPr>
            </control>
          </mc:Choice>
        </mc:AlternateContent>
        <mc:AlternateContent xmlns:mc="http://schemas.openxmlformats.org/markup-compatibility/2006">
          <mc:Choice Requires="x14">
            <control shapeId="1027" r:id="rId13" name="Check Box 3">
              <controlPr defaultSize="0" autoFill="0" autoLine="0" autoPict="0">
                <anchor moveWithCells="1">
                  <from>
                    <xdr:col>9</xdr:col>
                    <xdr:colOff>85725</xdr:colOff>
                    <xdr:row>17</xdr:row>
                    <xdr:rowOff>0</xdr:rowOff>
                  </from>
                  <to>
                    <xdr:col>9</xdr:col>
                    <xdr:colOff>638175</xdr:colOff>
                    <xdr:row>19</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CB70-FBC4-49C0-A7B5-EBB985B848E0}">
  <dimension ref="A1:P951"/>
  <sheetViews>
    <sheetView workbookViewId="0">
      <selection activeCell="E20" sqref="E20"/>
    </sheetView>
  </sheetViews>
  <sheetFormatPr defaultRowHeight="15" x14ac:dyDescent="0.25"/>
  <cols>
    <col min="1" max="1" width="10.140625" bestFit="1" customWidth="1"/>
    <col min="2" max="2" width="13.5703125" customWidth="1"/>
    <col min="3" max="3" width="11.85546875" customWidth="1"/>
    <col min="4" max="4" width="12.42578125" customWidth="1"/>
    <col min="5" max="5" width="18.140625" customWidth="1"/>
    <col min="6" max="6" width="14" customWidth="1"/>
    <col min="7" max="7" width="11" customWidth="1"/>
    <col min="8" max="8" width="11.85546875" customWidth="1"/>
    <col min="9" max="9" width="8.140625" customWidth="1"/>
    <col min="10" max="10" width="15.28515625" customWidth="1"/>
    <col min="11" max="11" width="15" customWidth="1"/>
    <col min="12" max="12" width="21.42578125" customWidth="1"/>
    <col min="13" max="13" width="21.140625" customWidth="1"/>
    <col min="15" max="15" width="10.85546875" customWidth="1"/>
  </cols>
  <sheetData>
    <row r="1" spans="1:16" ht="15.75" x14ac:dyDescent="0.25">
      <c r="A1" s="9" t="s">
        <v>0</v>
      </c>
      <c r="B1" s="4" t="s">
        <v>1</v>
      </c>
      <c r="C1" s="4" t="s">
        <v>2</v>
      </c>
      <c r="D1" s="4" t="s">
        <v>3</v>
      </c>
      <c r="E1" s="4" t="s">
        <v>4</v>
      </c>
      <c r="F1" s="4" t="s">
        <v>5</v>
      </c>
      <c r="G1" s="4" t="s">
        <v>6</v>
      </c>
      <c r="H1" s="4" t="s">
        <v>7</v>
      </c>
      <c r="I1" s="4" t="s">
        <v>8</v>
      </c>
      <c r="J1" s="4" t="s">
        <v>9</v>
      </c>
      <c r="K1" s="4" t="s">
        <v>10</v>
      </c>
      <c r="L1" s="6" t="s">
        <v>114</v>
      </c>
      <c r="M1" s="6" t="s">
        <v>115</v>
      </c>
      <c r="N1" s="6" t="s">
        <v>116</v>
      </c>
      <c r="O1" s="6" t="s">
        <v>117</v>
      </c>
      <c r="P1" s="6" t="s">
        <v>118</v>
      </c>
    </row>
    <row r="2" spans="1:16" x14ac:dyDescent="0.25">
      <c r="A2" s="10">
        <v>45659</v>
      </c>
      <c r="B2" s="1" t="s">
        <v>11</v>
      </c>
      <c r="C2" s="2">
        <v>5</v>
      </c>
      <c r="D2" s="1" t="s">
        <v>12</v>
      </c>
      <c r="E2" s="1" t="s">
        <v>13</v>
      </c>
      <c r="F2" s="3">
        <v>0.1</v>
      </c>
      <c r="G2" s="1" t="s">
        <v>14</v>
      </c>
      <c r="H2" s="1" t="s">
        <v>15</v>
      </c>
      <c r="I2" s="1" t="s">
        <v>16</v>
      </c>
      <c r="J2" s="7">
        <v>7</v>
      </c>
      <c r="K2" s="7">
        <v>6.9</v>
      </c>
      <c r="L2" s="8">
        <v>35</v>
      </c>
      <c r="M2" s="8">
        <v>34.5</v>
      </c>
      <c r="N2">
        <v>2</v>
      </c>
      <c r="O2" t="s">
        <v>122</v>
      </c>
      <c r="P2" t="s">
        <v>119</v>
      </c>
    </row>
    <row r="3" spans="1:16" x14ac:dyDescent="0.25">
      <c r="A3" s="10">
        <v>45659</v>
      </c>
      <c r="B3" s="1" t="s">
        <v>17</v>
      </c>
      <c r="C3" s="2">
        <v>8</v>
      </c>
      <c r="D3" s="1" t="s">
        <v>18</v>
      </c>
      <c r="E3" s="1" t="s">
        <v>13</v>
      </c>
      <c r="F3" s="3">
        <v>0</v>
      </c>
      <c r="G3" s="1" t="s">
        <v>19</v>
      </c>
      <c r="H3" s="1" t="s">
        <v>20</v>
      </c>
      <c r="I3" s="1" t="s">
        <v>21</v>
      </c>
      <c r="J3" s="7">
        <v>48</v>
      </c>
      <c r="K3" s="7">
        <v>52.95</v>
      </c>
      <c r="L3" s="8">
        <v>384</v>
      </c>
      <c r="M3" s="8">
        <v>423.6</v>
      </c>
      <c r="N3">
        <v>2</v>
      </c>
      <c r="O3" t="s">
        <v>122</v>
      </c>
      <c r="P3" t="s">
        <v>119</v>
      </c>
    </row>
    <row r="4" spans="1:16" x14ac:dyDescent="0.25">
      <c r="A4" s="10">
        <v>45660</v>
      </c>
      <c r="B4" s="1" t="s">
        <v>22</v>
      </c>
      <c r="C4" s="2">
        <v>4</v>
      </c>
      <c r="D4" s="1" t="s">
        <v>13</v>
      </c>
      <c r="E4" s="1" t="s">
        <v>23</v>
      </c>
      <c r="F4" s="3">
        <v>0</v>
      </c>
      <c r="G4" s="1" t="s">
        <v>24</v>
      </c>
      <c r="H4" s="1" t="s">
        <v>25</v>
      </c>
      <c r="I4" s="1" t="s">
        <v>26</v>
      </c>
      <c r="J4" s="7">
        <v>112</v>
      </c>
      <c r="K4" s="7">
        <v>129.91</v>
      </c>
      <c r="L4" s="8">
        <v>448</v>
      </c>
      <c r="M4" s="8">
        <v>519.64</v>
      </c>
      <c r="N4">
        <v>3</v>
      </c>
      <c r="O4" t="s">
        <v>122</v>
      </c>
      <c r="P4" t="s">
        <v>119</v>
      </c>
    </row>
    <row r="5" spans="1:16" x14ac:dyDescent="0.25">
      <c r="A5" s="10">
        <v>45661</v>
      </c>
      <c r="B5" s="1" t="s">
        <v>27</v>
      </c>
      <c r="C5" s="2">
        <v>12</v>
      </c>
      <c r="D5" s="1" t="s">
        <v>13</v>
      </c>
      <c r="E5" s="1" t="s">
        <v>13</v>
      </c>
      <c r="F5" s="3">
        <v>0</v>
      </c>
      <c r="G5" s="1" t="s">
        <v>28</v>
      </c>
      <c r="H5" s="1" t="s">
        <v>25</v>
      </c>
      <c r="I5" s="1" t="s">
        <v>26</v>
      </c>
      <c r="J5" s="7">
        <v>47</v>
      </c>
      <c r="K5" s="7">
        <v>55.26</v>
      </c>
      <c r="L5" s="8">
        <v>564</v>
      </c>
      <c r="M5" s="8">
        <v>663.12</v>
      </c>
      <c r="N5">
        <v>4</v>
      </c>
      <c r="O5" t="s">
        <v>122</v>
      </c>
      <c r="P5" t="s">
        <v>119</v>
      </c>
    </row>
    <row r="6" spans="1:16" x14ac:dyDescent="0.25">
      <c r="A6" s="10">
        <v>45661</v>
      </c>
      <c r="B6" s="1" t="s">
        <v>29</v>
      </c>
      <c r="C6" s="2">
        <v>7</v>
      </c>
      <c r="D6" s="1" t="s">
        <v>13</v>
      </c>
      <c r="E6" s="1" t="s">
        <v>13</v>
      </c>
      <c r="F6" s="3">
        <v>0</v>
      </c>
      <c r="G6" s="1" t="s">
        <v>30</v>
      </c>
      <c r="H6" s="1" t="s">
        <v>15</v>
      </c>
      <c r="I6" s="1" t="s">
        <v>16</v>
      </c>
      <c r="J6" s="7">
        <v>12</v>
      </c>
      <c r="K6" s="7">
        <v>13.32</v>
      </c>
      <c r="L6" s="8">
        <v>84</v>
      </c>
      <c r="M6" s="8">
        <v>93.240000000000009</v>
      </c>
      <c r="N6">
        <v>4</v>
      </c>
      <c r="O6" t="s">
        <v>122</v>
      </c>
      <c r="P6" t="s">
        <v>119</v>
      </c>
    </row>
    <row r="7" spans="1:16" x14ac:dyDescent="0.25">
      <c r="A7" s="10">
        <v>45664</v>
      </c>
      <c r="B7" s="1" t="s">
        <v>31</v>
      </c>
      <c r="C7" s="2">
        <v>10</v>
      </c>
      <c r="D7" s="1" t="s">
        <v>18</v>
      </c>
      <c r="E7" s="1" t="s">
        <v>13</v>
      </c>
      <c r="F7" s="3">
        <v>0</v>
      </c>
      <c r="G7" s="1" t="s">
        <v>32</v>
      </c>
      <c r="H7" s="1" t="s">
        <v>33</v>
      </c>
      <c r="I7" s="1" t="s">
        <v>21</v>
      </c>
      <c r="J7" s="7">
        <v>63</v>
      </c>
      <c r="K7" s="7">
        <v>68.98</v>
      </c>
      <c r="L7" s="8">
        <v>630</v>
      </c>
      <c r="M7" s="8">
        <v>689.80000000000007</v>
      </c>
      <c r="N7">
        <v>7</v>
      </c>
      <c r="O7" t="s">
        <v>122</v>
      </c>
      <c r="P7" t="s">
        <v>119</v>
      </c>
    </row>
    <row r="8" spans="1:16" x14ac:dyDescent="0.25">
      <c r="A8" s="10">
        <v>45665</v>
      </c>
      <c r="B8" s="1" t="s">
        <v>34</v>
      </c>
      <c r="C8" s="2">
        <v>3</v>
      </c>
      <c r="D8" s="1" t="s">
        <v>13</v>
      </c>
      <c r="E8" s="1" t="s">
        <v>23</v>
      </c>
      <c r="F8" s="3">
        <v>0</v>
      </c>
      <c r="G8" s="1" t="s">
        <v>35</v>
      </c>
      <c r="H8" s="1" t="s">
        <v>20</v>
      </c>
      <c r="I8" s="1" t="s">
        <v>16</v>
      </c>
      <c r="J8" s="7">
        <v>5</v>
      </c>
      <c r="K8" s="7">
        <v>5.75</v>
      </c>
      <c r="L8" s="8">
        <v>15</v>
      </c>
      <c r="M8" s="8">
        <v>17.25</v>
      </c>
      <c r="N8">
        <v>8</v>
      </c>
      <c r="O8" t="s">
        <v>122</v>
      </c>
      <c r="P8" t="s">
        <v>119</v>
      </c>
    </row>
    <row r="9" spans="1:16" x14ac:dyDescent="0.25">
      <c r="A9" s="10">
        <v>45665</v>
      </c>
      <c r="B9" s="1" t="s">
        <v>36</v>
      </c>
      <c r="C9" s="2">
        <v>13</v>
      </c>
      <c r="D9" s="1" t="s">
        <v>18</v>
      </c>
      <c r="E9" s="1" t="s">
        <v>13</v>
      </c>
      <c r="F9" s="3">
        <v>0.05</v>
      </c>
      <c r="G9" s="1" t="s">
        <v>37</v>
      </c>
      <c r="H9" s="1" t="s">
        <v>15</v>
      </c>
      <c r="I9" s="1" t="s">
        <v>38</v>
      </c>
      <c r="J9" s="7">
        <v>141</v>
      </c>
      <c r="K9" s="7">
        <v>145.37</v>
      </c>
      <c r="L9" s="8">
        <v>1833</v>
      </c>
      <c r="M9" s="8">
        <v>1889.81</v>
      </c>
      <c r="N9">
        <v>8</v>
      </c>
      <c r="O9" t="s">
        <v>122</v>
      </c>
      <c r="P9" t="s">
        <v>119</v>
      </c>
    </row>
    <row r="10" spans="1:16" x14ac:dyDescent="0.25">
      <c r="A10" s="10">
        <v>45666</v>
      </c>
      <c r="B10" s="1" t="s">
        <v>39</v>
      </c>
      <c r="C10" s="2">
        <v>9</v>
      </c>
      <c r="D10" s="1" t="s">
        <v>18</v>
      </c>
      <c r="E10" s="1" t="s">
        <v>23</v>
      </c>
      <c r="F10" s="3">
        <v>0</v>
      </c>
      <c r="G10" s="1" t="s">
        <v>40</v>
      </c>
      <c r="H10" s="1" t="s">
        <v>33</v>
      </c>
      <c r="I10" s="1" t="s">
        <v>38</v>
      </c>
      <c r="J10" s="7">
        <v>98</v>
      </c>
      <c r="K10" s="7">
        <v>105.86</v>
      </c>
      <c r="L10" s="8">
        <v>882</v>
      </c>
      <c r="M10" s="8">
        <v>952.74</v>
      </c>
      <c r="N10">
        <v>9</v>
      </c>
      <c r="O10" t="s">
        <v>122</v>
      </c>
      <c r="P10" t="s">
        <v>119</v>
      </c>
    </row>
    <row r="11" spans="1:16" x14ac:dyDescent="0.25">
      <c r="A11" s="10">
        <v>45667</v>
      </c>
      <c r="B11" s="1" t="s">
        <v>11</v>
      </c>
      <c r="C11" s="2">
        <v>13</v>
      </c>
      <c r="D11" s="1" t="s">
        <v>18</v>
      </c>
      <c r="E11" s="1" t="s">
        <v>13</v>
      </c>
      <c r="F11" s="3">
        <v>0</v>
      </c>
      <c r="G11" s="1" t="s">
        <v>14</v>
      </c>
      <c r="H11" s="1" t="s">
        <v>15</v>
      </c>
      <c r="I11" s="1" t="s">
        <v>16</v>
      </c>
      <c r="J11" s="7">
        <v>7</v>
      </c>
      <c r="K11" s="7">
        <v>7.9</v>
      </c>
      <c r="L11" s="8">
        <v>91</v>
      </c>
      <c r="M11" s="8">
        <v>102.7</v>
      </c>
      <c r="N11">
        <v>10</v>
      </c>
      <c r="O11" t="s">
        <v>122</v>
      </c>
      <c r="P11" t="s">
        <v>119</v>
      </c>
    </row>
    <row r="12" spans="1:16" x14ac:dyDescent="0.25">
      <c r="A12" s="10">
        <v>45671</v>
      </c>
      <c r="B12" s="1" t="s">
        <v>17</v>
      </c>
      <c r="C12" s="2">
        <v>1</v>
      </c>
      <c r="D12" s="1" t="s">
        <v>13</v>
      </c>
      <c r="E12" s="1" t="s">
        <v>13</v>
      </c>
      <c r="F12" s="3">
        <v>0</v>
      </c>
      <c r="G12" s="1" t="s">
        <v>19</v>
      </c>
      <c r="H12" s="1" t="s">
        <v>20</v>
      </c>
      <c r="I12" s="1" t="s">
        <v>21</v>
      </c>
      <c r="J12" s="7">
        <v>48</v>
      </c>
      <c r="K12" s="7">
        <v>56.61</v>
      </c>
      <c r="L12" s="8">
        <v>48</v>
      </c>
      <c r="M12" s="8">
        <v>56.61</v>
      </c>
      <c r="N12">
        <v>14</v>
      </c>
      <c r="O12" t="s">
        <v>122</v>
      </c>
      <c r="P12" t="s">
        <v>119</v>
      </c>
    </row>
    <row r="13" spans="1:16" x14ac:dyDescent="0.25">
      <c r="A13" s="10">
        <v>45672</v>
      </c>
      <c r="B13" s="1" t="s">
        <v>41</v>
      </c>
      <c r="C13" s="2">
        <v>1</v>
      </c>
      <c r="D13" s="1" t="s">
        <v>12</v>
      </c>
      <c r="E13" s="1" t="s">
        <v>13</v>
      </c>
      <c r="F13" s="3">
        <v>0</v>
      </c>
      <c r="G13" s="1" t="s">
        <v>42</v>
      </c>
      <c r="H13" s="1" t="s">
        <v>43</v>
      </c>
      <c r="I13" s="1" t="s">
        <v>26</v>
      </c>
      <c r="J13" s="7">
        <v>75</v>
      </c>
      <c r="K13" s="7">
        <v>84.12</v>
      </c>
      <c r="L13" s="8">
        <v>75</v>
      </c>
      <c r="M13" s="8">
        <v>84.12</v>
      </c>
      <c r="N13">
        <v>15</v>
      </c>
      <c r="O13" t="s">
        <v>122</v>
      </c>
      <c r="P13" t="s">
        <v>119</v>
      </c>
    </row>
    <row r="14" spans="1:16" x14ac:dyDescent="0.25">
      <c r="A14" s="10">
        <v>45673</v>
      </c>
      <c r="B14" s="1" t="s">
        <v>41</v>
      </c>
      <c r="C14" s="2">
        <v>12</v>
      </c>
      <c r="D14" s="1" t="s">
        <v>18</v>
      </c>
      <c r="E14" s="1" t="s">
        <v>13</v>
      </c>
      <c r="F14" s="3">
        <v>0</v>
      </c>
      <c r="G14" s="1" t="s">
        <v>42</v>
      </c>
      <c r="H14" s="1" t="s">
        <v>43</v>
      </c>
      <c r="I14" s="1" t="s">
        <v>26</v>
      </c>
      <c r="J14" s="7">
        <v>75</v>
      </c>
      <c r="K14" s="7">
        <v>83.56</v>
      </c>
      <c r="L14" s="8">
        <v>900</v>
      </c>
      <c r="M14" s="8">
        <v>1002.72</v>
      </c>
      <c r="N14">
        <v>16</v>
      </c>
      <c r="O14" t="s">
        <v>122</v>
      </c>
      <c r="P14" t="s">
        <v>119</v>
      </c>
    </row>
    <row r="15" spans="1:16" x14ac:dyDescent="0.25">
      <c r="A15" s="10">
        <v>45673</v>
      </c>
      <c r="B15" s="1" t="s">
        <v>44</v>
      </c>
      <c r="C15" s="2">
        <v>13</v>
      </c>
      <c r="D15" s="1" t="s">
        <v>13</v>
      </c>
      <c r="E15" s="1" t="s">
        <v>23</v>
      </c>
      <c r="F15" s="3">
        <v>0</v>
      </c>
      <c r="G15" s="1" t="s">
        <v>45</v>
      </c>
      <c r="H15" s="1" t="s">
        <v>15</v>
      </c>
      <c r="I15" s="1" t="s">
        <v>38</v>
      </c>
      <c r="J15" s="7">
        <v>110</v>
      </c>
      <c r="K15" s="7">
        <v>129.53</v>
      </c>
      <c r="L15" s="8">
        <v>1430</v>
      </c>
      <c r="M15" s="8">
        <v>1683.89</v>
      </c>
      <c r="N15">
        <v>16</v>
      </c>
      <c r="O15" t="s">
        <v>122</v>
      </c>
      <c r="P15" t="s">
        <v>119</v>
      </c>
    </row>
    <row r="16" spans="1:16" x14ac:dyDescent="0.25">
      <c r="A16" s="10">
        <v>45674</v>
      </c>
      <c r="B16" s="1" t="s">
        <v>44</v>
      </c>
      <c r="C16" s="2">
        <v>2</v>
      </c>
      <c r="D16" s="1" t="s">
        <v>18</v>
      </c>
      <c r="E16" s="1" t="s">
        <v>13</v>
      </c>
      <c r="F16" s="3">
        <v>0</v>
      </c>
      <c r="G16" s="1" t="s">
        <v>45</v>
      </c>
      <c r="H16" s="1" t="s">
        <v>15</v>
      </c>
      <c r="I16" s="1" t="s">
        <v>38</v>
      </c>
      <c r="J16" s="7">
        <v>110</v>
      </c>
      <c r="K16" s="7">
        <v>121.16</v>
      </c>
      <c r="L16" s="8">
        <v>220</v>
      </c>
      <c r="M16" s="8">
        <v>242.32</v>
      </c>
      <c r="N16">
        <v>17</v>
      </c>
      <c r="O16" t="s">
        <v>122</v>
      </c>
      <c r="P16" t="s">
        <v>119</v>
      </c>
    </row>
    <row r="17" spans="1:16" x14ac:dyDescent="0.25">
      <c r="A17" s="10">
        <v>45674</v>
      </c>
      <c r="B17" s="1" t="s">
        <v>41</v>
      </c>
      <c r="C17" s="2">
        <v>7</v>
      </c>
      <c r="D17" s="1" t="s">
        <v>13</v>
      </c>
      <c r="E17" s="1" t="s">
        <v>13</v>
      </c>
      <c r="F17" s="3">
        <v>0.02</v>
      </c>
      <c r="G17" s="1" t="s">
        <v>42</v>
      </c>
      <c r="H17" s="1" t="s">
        <v>43</v>
      </c>
      <c r="I17" s="1" t="s">
        <v>26</v>
      </c>
      <c r="J17" s="7">
        <v>75</v>
      </c>
      <c r="K17" s="7">
        <v>84.54</v>
      </c>
      <c r="L17" s="8">
        <v>525</v>
      </c>
      <c r="M17" s="8">
        <v>591.78000000000009</v>
      </c>
      <c r="N17">
        <v>17</v>
      </c>
      <c r="O17" t="s">
        <v>122</v>
      </c>
      <c r="P17" t="s">
        <v>119</v>
      </c>
    </row>
    <row r="18" spans="1:16" x14ac:dyDescent="0.25">
      <c r="A18" s="10">
        <v>45674</v>
      </c>
      <c r="B18" s="1" t="s">
        <v>46</v>
      </c>
      <c r="C18" s="2">
        <v>4</v>
      </c>
      <c r="D18" s="1" t="s">
        <v>18</v>
      </c>
      <c r="E18" s="1" t="s">
        <v>23</v>
      </c>
      <c r="F18" s="3">
        <v>0</v>
      </c>
      <c r="G18" s="1" t="s">
        <v>47</v>
      </c>
      <c r="H18" s="1" t="s">
        <v>15</v>
      </c>
      <c r="I18" s="1" t="s">
        <v>16</v>
      </c>
      <c r="J18" s="7">
        <v>8</v>
      </c>
      <c r="K18" s="7">
        <v>9.09</v>
      </c>
      <c r="L18" s="8">
        <v>32</v>
      </c>
      <c r="M18" s="8">
        <v>36.36</v>
      </c>
      <c r="N18">
        <v>17</v>
      </c>
      <c r="O18" t="s">
        <v>122</v>
      </c>
      <c r="P18" t="s">
        <v>119</v>
      </c>
    </row>
    <row r="19" spans="1:16" x14ac:dyDescent="0.25">
      <c r="A19" s="10">
        <v>45675</v>
      </c>
      <c r="B19" s="1" t="s">
        <v>48</v>
      </c>
      <c r="C19" s="2">
        <v>1</v>
      </c>
      <c r="D19" s="1" t="s">
        <v>13</v>
      </c>
      <c r="E19" s="1" t="s">
        <v>23</v>
      </c>
      <c r="F19" s="3">
        <v>0.02</v>
      </c>
      <c r="G19" s="1" t="s">
        <v>49</v>
      </c>
      <c r="H19" s="1" t="s">
        <v>15</v>
      </c>
      <c r="I19" s="1" t="s">
        <v>26</v>
      </c>
      <c r="J19" s="7">
        <v>67</v>
      </c>
      <c r="K19" s="7">
        <v>76.739999999999995</v>
      </c>
      <c r="L19" s="8">
        <v>67</v>
      </c>
      <c r="M19" s="8">
        <v>76.739999999999995</v>
      </c>
      <c r="N19">
        <v>18</v>
      </c>
      <c r="O19" t="s">
        <v>122</v>
      </c>
      <c r="P19" t="s">
        <v>119</v>
      </c>
    </row>
    <row r="20" spans="1:16" x14ac:dyDescent="0.25">
      <c r="A20" s="10">
        <v>45676</v>
      </c>
      <c r="B20" s="1" t="s">
        <v>50</v>
      </c>
      <c r="C20" s="2">
        <v>13</v>
      </c>
      <c r="D20" s="1" t="s">
        <v>12</v>
      </c>
      <c r="E20" s="1" t="s">
        <v>13</v>
      </c>
      <c r="F20" s="3">
        <v>0.05</v>
      </c>
      <c r="G20" s="1" t="s">
        <v>51</v>
      </c>
      <c r="H20" s="1" t="s">
        <v>33</v>
      </c>
      <c r="I20" s="1" t="s">
        <v>26</v>
      </c>
      <c r="J20" s="7">
        <v>102</v>
      </c>
      <c r="K20" s="7">
        <v>108.69</v>
      </c>
      <c r="L20" s="8">
        <v>1326</v>
      </c>
      <c r="M20" s="8">
        <v>1412.97</v>
      </c>
      <c r="N20">
        <v>19</v>
      </c>
      <c r="O20" t="s">
        <v>122</v>
      </c>
      <c r="P20" t="s">
        <v>119</v>
      </c>
    </row>
    <row r="21" spans="1:16" x14ac:dyDescent="0.25">
      <c r="A21" s="10">
        <v>45677</v>
      </c>
      <c r="B21" s="1" t="s">
        <v>52</v>
      </c>
      <c r="C21" s="2">
        <v>7</v>
      </c>
      <c r="D21" s="1" t="s">
        <v>12</v>
      </c>
      <c r="E21" s="1" t="s">
        <v>23</v>
      </c>
      <c r="F21" s="3">
        <v>0.05</v>
      </c>
      <c r="G21" s="1" t="s">
        <v>53</v>
      </c>
      <c r="H21" s="1" t="s">
        <v>25</v>
      </c>
      <c r="I21" s="1" t="s">
        <v>21</v>
      </c>
      <c r="J21" s="7">
        <v>58</v>
      </c>
      <c r="K21" s="7">
        <v>63.85</v>
      </c>
      <c r="L21" s="8">
        <v>406</v>
      </c>
      <c r="M21" s="8">
        <v>446.95</v>
      </c>
      <c r="N21">
        <v>20</v>
      </c>
      <c r="O21" t="s">
        <v>122</v>
      </c>
      <c r="P21" t="s">
        <v>119</v>
      </c>
    </row>
    <row r="22" spans="1:16" x14ac:dyDescent="0.25">
      <c r="A22" s="10">
        <v>45678</v>
      </c>
      <c r="B22" s="1" t="s">
        <v>54</v>
      </c>
      <c r="C22" s="2">
        <v>1</v>
      </c>
      <c r="D22" s="1" t="s">
        <v>13</v>
      </c>
      <c r="E22" s="1" t="s">
        <v>13</v>
      </c>
      <c r="F22" s="3">
        <v>0</v>
      </c>
      <c r="G22" s="1" t="s">
        <v>55</v>
      </c>
      <c r="H22" s="1" t="s">
        <v>43</v>
      </c>
      <c r="I22" s="1" t="s">
        <v>26</v>
      </c>
      <c r="J22" s="7">
        <v>71</v>
      </c>
      <c r="K22" s="7">
        <v>80.37</v>
      </c>
      <c r="L22" s="8">
        <v>71</v>
      </c>
      <c r="M22" s="8">
        <v>80.37</v>
      </c>
      <c r="N22">
        <v>21</v>
      </c>
      <c r="O22" t="s">
        <v>122</v>
      </c>
      <c r="P22" t="s">
        <v>119</v>
      </c>
    </row>
    <row r="23" spans="1:16" x14ac:dyDescent="0.25">
      <c r="A23" s="10">
        <v>45680</v>
      </c>
      <c r="B23" s="1" t="s">
        <v>56</v>
      </c>
      <c r="C23" s="2">
        <v>9</v>
      </c>
      <c r="D23" s="1" t="s">
        <v>13</v>
      </c>
      <c r="E23" s="1" t="s">
        <v>13</v>
      </c>
      <c r="F23" s="3">
        <v>0.05</v>
      </c>
      <c r="G23" s="1" t="s">
        <v>57</v>
      </c>
      <c r="H23" s="1" t="s">
        <v>20</v>
      </c>
      <c r="I23" s="1" t="s">
        <v>26</v>
      </c>
      <c r="J23" s="7">
        <v>79</v>
      </c>
      <c r="K23" s="7">
        <v>87.28</v>
      </c>
      <c r="L23" s="8">
        <v>711</v>
      </c>
      <c r="M23" s="8">
        <v>785.52</v>
      </c>
      <c r="N23">
        <v>23</v>
      </c>
      <c r="O23" t="s">
        <v>122</v>
      </c>
      <c r="P23" t="s">
        <v>119</v>
      </c>
    </row>
    <row r="24" spans="1:16" x14ac:dyDescent="0.25">
      <c r="A24" s="10">
        <v>45680</v>
      </c>
      <c r="B24" s="1" t="s">
        <v>58</v>
      </c>
      <c r="C24" s="2">
        <v>4</v>
      </c>
      <c r="D24" s="1" t="s">
        <v>13</v>
      </c>
      <c r="E24" s="1" t="s">
        <v>13</v>
      </c>
      <c r="F24" s="3">
        <v>0</v>
      </c>
      <c r="G24" s="1" t="s">
        <v>59</v>
      </c>
      <c r="H24" s="1" t="s">
        <v>43</v>
      </c>
      <c r="I24" s="1" t="s">
        <v>26</v>
      </c>
      <c r="J24" s="7">
        <v>98</v>
      </c>
      <c r="K24" s="7">
        <v>107.31</v>
      </c>
      <c r="L24" s="8">
        <v>392</v>
      </c>
      <c r="M24" s="8">
        <v>429.24</v>
      </c>
      <c r="N24">
        <v>23</v>
      </c>
      <c r="O24" t="s">
        <v>122</v>
      </c>
      <c r="P24" t="s">
        <v>119</v>
      </c>
    </row>
    <row r="25" spans="1:16" x14ac:dyDescent="0.25">
      <c r="A25" s="10">
        <v>45681</v>
      </c>
      <c r="B25" s="1" t="s">
        <v>60</v>
      </c>
      <c r="C25" s="2">
        <v>13</v>
      </c>
      <c r="D25" s="1" t="s">
        <v>13</v>
      </c>
      <c r="E25" s="1" t="s">
        <v>13</v>
      </c>
      <c r="F25" s="3">
        <v>0</v>
      </c>
      <c r="G25" s="1" t="s">
        <v>61</v>
      </c>
      <c r="H25" s="1" t="s">
        <v>15</v>
      </c>
      <c r="I25" s="1" t="s">
        <v>26</v>
      </c>
      <c r="J25" s="7">
        <v>84</v>
      </c>
      <c r="K25" s="7">
        <v>91.94</v>
      </c>
      <c r="L25" s="8">
        <v>1092</v>
      </c>
      <c r="M25" s="8">
        <v>1195.22</v>
      </c>
      <c r="N25">
        <v>24</v>
      </c>
      <c r="O25" t="s">
        <v>122</v>
      </c>
      <c r="P25" t="s">
        <v>119</v>
      </c>
    </row>
    <row r="26" spans="1:16" x14ac:dyDescent="0.25">
      <c r="A26" s="10">
        <v>45684</v>
      </c>
      <c r="B26" s="1" t="s">
        <v>52</v>
      </c>
      <c r="C26" s="2">
        <v>4</v>
      </c>
      <c r="D26" s="1" t="s">
        <v>12</v>
      </c>
      <c r="E26" s="1" t="s">
        <v>23</v>
      </c>
      <c r="F26" s="3">
        <v>0.05</v>
      </c>
      <c r="G26" s="1" t="s">
        <v>53</v>
      </c>
      <c r="H26" s="1" t="s">
        <v>25</v>
      </c>
      <c r="I26" s="1" t="s">
        <v>21</v>
      </c>
      <c r="J26" s="7">
        <v>58</v>
      </c>
      <c r="K26" s="7">
        <v>64.28</v>
      </c>
      <c r="L26" s="8">
        <v>232</v>
      </c>
      <c r="M26" s="8">
        <v>257.12</v>
      </c>
      <c r="N26">
        <v>27</v>
      </c>
      <c r="O26" t="s">
        <v>122</v>
      </c>
      <c r="P26" t="s">
        <v>119</v>
      </c>
    </row>
    <row r="27" spans="1:16" x14ac:dyDescent="0.25">
      <c r="A27" s="10">
        <v>45685</v>
      </c>
      <c r="B27" s="1" t="s">
        <v>62</v>
      </c>
      <c r="C27" s="2">
        <v>8</v>
      </c>
      <c r="D27" s="1" t="s">
        <v>13</v>
      </c>
      <c r="E27" s="1" t="s">
        <v>23</v>
      </c>
      <c r="F27" s="3">
        <v>0</v>
      </c>
      <c r="G27" s="1" t="s">
        <v>63</v>
      </c>
      <c r="H27" s="1" t="s">
        <v>15</v>
      </c>
      <c r="I27" s="1" t="s">
        <v>38</v>
      </c>
      <c r="J27" s="7">
        <v>95</v>
      </c>
      <c r="K27" s="7">
        <v>108.24</v>
      </c>
      <c r="L27" s="8">
        <v>760</v>
      </c>
      <c r="M27" s="8">
        <v>865.92</v>
      </c>
      <c r="N27">
        <v>28</v>
      </c>
      <c r="O27" t="s">
        <v>122</v>
      </c>
      <c r="P27" t="s">
        <v>119</v>
      </c>
    </row>
    <row r="28" spans="1:16" x14ac:dyDescent="0.25">
      <c r="A28" s="10">
        <v>45686</v>
      </c>
      <c r="B28" s="1" t="s">
        <v>58</v>
      </c>
      <c r="C28" s="2">
        <v>4</v>
      </c>
      <c r="D28" s="1" t="s">
        <v>13</v>
      </c>
      <c r="E28" s="1" t="s">
        <v>23</v>
      </c>
      <c r="F28" s="3">
        <v>0</v>
      </c>
      <c r="G28" s="1" t="s">
        <v>59</v>
      </c>
      <c r="H28" s="1" t="s">
        <v>43</v>
      </c>
      <c r="I28" s="1" t="s">
        <v>26</v>
      </c>
      <c r="J28" s="7">
        <v>98</v>
      </c>
      <c r="K28" s="7">
        <v>113.33</v>
      </c>
      <c r="L28" s="8">
        <v>392</v>
      </c>
      <c r="M28" s="8">
        <v>453.32</v>
      </c>
      <c r="N28">
        <v>29</v>
      </c>
      <c r="O28" t="s">
        <v>122</v>
      </c>
      <c r="P28" t="s">
        <v>119</v>
      </c>
    </row>
    <row r="29" spans="1:16" x14ac:dyDescent="0.25">
      <c r="A29" s="10">
        <v>45686</v>
      </c>
      <c r="B29" s="1" t="s">
        <v>64</v>
      </c>
      <c r="C29" s="2">
        <v>9</v>
      </c>
      <c r="D29" s="1" t="s">
        <v>13</v>
      </c>
      <c r="E29" s="1" t="s">
        <v>23</v>
      </c>
      <c r="F29" s="3">
        <v>0</v>
      </c>
      <c r="G29" s="1" t="s">
        <v>65</v>
      </c>
      <c r="H29" s="1" t="s">
        <v>25</v>
      </c>
      <c r="I29" s="1" t="s">
        <v>26</v>
      </c>
      <c r="J29" s="7">
        <v>60</v>
      </c>
      <c r="K29" s="7">
        <v>70.41</v>
      </c>
      <c r="L29" s="8">
        <v>540</v>
      </c>
      <c r="M29" s="8">
        <v>633.68999999999994</v>
      </c>
      <c r="N29">
        <v>29</v>
      </c>
      <c r="O29" t="s">
        <v>122</v>
      </c>
      <c r="P29" t="s">
        <v>119</v>
      </c>
    </row>
    <row r="30" spans="1:16" x14ac:dyDescent="0.25">
      <c r="A30" s="10">
        <v>45686</v>
      </c>
      <c r="B30" s="1" t="s">
        <v>56</v>
      </c>
      <c r="C30" s="2">
        <v>3</v>
      </c>
      <c r="D30" s="1" t="s">
        <v>18</v>
      </c>
      <c r="E30" s="1" t="s">
        <v>13</v>
      </c>
      <c r="F30" s="3">
        <v>0</v>
      </c>
      <c r="G30" s="1" t="s">
        <v>57</v>
      </c>
      <c r="H30" s="1" t="s">
        <v>20</v>
      </c>
      <c r="I30" s="1" t="s">
        <v>26</v>
      </c>
      <c r="J30" s="7">
        <v>79</v>
      </c>
      <c r="K30" s="7">
        <v>89.73</v>
      </c>
      <c r="L30" s="8">
        <v>237</v>
      </c>
      <c r="M30" s="8">
        <v>269.19</v>
      </c>
      <c r="N30">
        <v>29</v>
      </c>
      <c r="O30" t="s">
        <v>122</v>
      </c>
      <c r="P30" t="s">
        <v>119</v>
      </c>
    </row>
    <row r="31" spans="1:16" x14ac:dyDescent="0.25">
      <c r="A31" s="10">
        <v>45686</v>
      </c>
      <c r="B31" s="1" t="s">
        <v>66</v>
      </c>
      <c r="C31" s="2">
        <v>11</v>
      </c>
      <c r="D31" s="1" t="s">
        <v>18</v>
      </c>
      <c r="E31" s="1" t="s">
        <v>23</v>
      </c>
      <c r="F31" s="3">
        <v>0</v>
      </c>
      <c r="G31" s="1" t="s">
        <v>67</v>
      </c>
      <c r="H31" s="1" t="s">
        <v>15</v>
      </c>
      <c r="I31" s="1" t="s">
        <v>21</v>
      </c>
      <c r="J31" s="7">
        <v>61</v>
      </c>
      <c r="K31" s="7">
        <v>70.2</v>
      </c>
      <c r="L31" s="8">
        <v>671</v>
      </c>
      <c r="M31" s="8">
        <v>772.2</v>
      </c>
      <c r="N31">
        <v>29</v>
      </c>
      <c r="O31" t="s">
        <v>122</v>
      </c>
      <c r="P31" t="s">
        <v>119</v>
      </c>
    </row>
    <row r="32" spans="1:16" x14ac:dyDescent="0.25">
      <c r="A32" s="10">
        <v>45686</v>
      </c>
      <c r="B32" s="1" t="s">
        <v>68</v>
      </c>
      <c r="C32" s="2">
        <v>10</v>
      </c>
      <c r="D32" s="1" t="s">
        <v>13</v>
      </c>
      <c r="E32" s="1" t="s">
        <v>13</v>
      </c>
      <c r="F32" s="3">
        <v>0.02</v>
      </c>
      <c r="G32" s="1" t="s">
        <v>69</v>
      </c>
      <c r="H32" s="1" t="s">
        <v>15</v>
      </c>
      <c r="I32" s="1" t="s">
        <v>38</v>
      </c>
      <c r="J32" s="7">
        <v>130</v>
      </c>
      <c r="K32" s="7">
        <v>147.86000000000001</v>
      </c>
      <c r="L32" s="8">
        <v>1300</v>
      </c>
      <c r="M32" s="8">
        <v>1478.6000000000001</v>
      </c>
      <c r="N32">
        <v>29</v>
      </c>
      <c r="O32" t="s">
        <v>122</v>
      </c>
      <c r="P32" t="s">
        <v>119</v>
      </c>
    </row>
    <row r="33" spans="1:16" x14ac:dyDescent="0.25">
      <c r="A33" s="10">
        <v>45687</v>
      </c>
      <c r="B33" s="1" t="s">
        <v>70</v>
      </c>
      <c r="C33" s="2">
        <v>11</v>
      </c>
      <c r="D33" s="1" t="s">
        <v>18</v>
      </c>
      <c r="E33" s="1" t="s">
        <v>13</v>
      </c>
      <c r="F33" s="3">
        <v>0</v>
      </c>
      <c r="G33" s="1" t="s">
        <v>71</v>
      </c>
      <c r="H33" s="1" t="s">
        <v>43</v>
      </c>
      <c r="I33" s="1" t="s">
        <v>21</v>
      </c>
      <c r="J33" s="7">
        <v>52</v>
      </c>
      <c r="K33" s="7">
        <v>60.06</v>
      </c>
      <c r="L33" s="8">
        <v>572</v>
      </c>
      <c r="M33" s="8">
        <v>660.66000000000008</v>
      </c>
      <c r="N33">
        <v>30</v>
      </c>
      <c r="O33" t="s">
        <v>122</v>
      </c>
      <c r="P33" t="s">
        <v>119</v>
      </c>
    </row>
    <row r="34" spans="1:16" x14ac:dyDescent="0.25">
      <c r="A34" s="10">
        <v>45687</v>
      </c>
      <c r="B34" s="1" t="s">
        <v>50</v>
      </c>
      <c r="C34" s="2">
        <v>7</v>
      </c>
      <c r="D34" s="1" t="s">
        <v>12</v>
      </c>
      <c r="E34" s="1" t="s">
        <v>23</v>
      </c>
      <c r="F34" s="3">
        <v>0.08</v>
      </c>
      <c r="G34" s="1" t="s">
        <v>51</v>
      </c>
      <c r="H34" s="1" t="s">
        <v>33</v>
      </c>
      <c r="I34" s="1" t="s">
        <v>26</v>
      </c>
      <c r="J34" s="7">
        <v>102</v>
      </c>
      <c r="K34" s="7">
        <v>103.25</v>
      </c>
      <c r="L34" s="8">
        <v>714</v>
      </c>
      <c r="M34" s="8">
        <v>722.75</v>
      </c>
      <c r="N34">
        <v>30</v>
      </c>
      <c r="O34" t="s">
        <v>122</v>
      </c>
      <c r="P34" t="s">
        <v>119</v>
      </c>
    </row>
    <row r="35" spans="1:16" x14ac:dyDescent="0.25">
      <c r="A35" s="10">
        <v>45688</v>
      </c>
      <c r="B35" s="1" t="s">
        <v>72</v>
      </c>
      <c r="C35" s="2">
        <v>6</v>
      </c>
      <c r="D35" s="1" t="s">
        <v>18</v>
      </c>
      <c r="E35" s="1" t="s">
        <v>23</v>
      </c>
      <c r="F35" s="3">
        <v>0</v>
      </c>
      <c r="G35" s="1" t="s">
        <v>73</v>
      </c>
      <c r="H35" s="1" t="s">
        <v>33</v>
      </c>
      <c r="I35" s="1" t="s">
        <v>26</v>
      </c>
      <c r="J35" s="7">
        <v>67</v>
      </c>
      <c r="K35" s="7">
        <v>77.08</v>
      </c>
      <c r="L35" s="8">
        <v>402</v>
      </c>
      <c r="M35" s="8">
        <v>462.48</v>
      </c>
      <c r="N35">
        <v>31</v>
      </c>
      <c r="O35" t="s">
        <v>122</v>
      </c>
      <c r="P35" t="s">
        <v>119</v>
      </c>
    </row>
    <row r="36" spans="1:16" x14ac:dyDescent="0.25">
      <c r="A36" s="10">
        <v>45689</v>
      </c>
      <c r="B36" s="1" t="s">
        <v>74</v>
      </c>
      <c r="C36" s="2">
        <v>2</v>
      </c>
      <c r="D36" s="1" t="s">
        <v>12</v>
      </c>
      <c r="E36" s="1" t="s">
        <v>13</v>
      </c>
      <c r="F36" s="3">
        <v>0.02</v>
      </c>
      <c r="G36" s="1" t="s">
        <v>75</v>
      </c>
      <c r="H36" s="1" t="s">
        <v>20</v>
      </c>
      <c r="I36" s="1" t="s">
        <v>21</v>
      </c>
      <c r="J36" s="7">
        <v>47</v>
      </c>
      <c r="K36" s="7">
        <v>49.92</v>
      </c>
      <c r="L36" s="8">
        <v>94</v>
      </c>
      <c r="M36" s="8">
        <v>99.84</v>
      </c>
      <c r="N36">
        <v>1</v>
      </c>
      <c r="O36" t="s">
        <v>123</v>
      </c>
      <c r="P36" t="s">
        <v>119</v>
      </c>
    </row>
    <row r="37" spans="1:16" x14ac:dyDescent="0.25">
      <c r="A37" s="10">
        <v>45691</v>
      </c>
      <c r="B37" s="1" t="s">
        <v>44</v>
      </c>
      <c r="C37" s="2">
        <v>2</v>
      </c>
      <c r="D37" s="1" t="s">
        <v>18</v>
      </c>
      <c r="E37" s="1" t="s">
        <v>13</v>
      </c>
      <c r="F37" s="3">
        <v>0</v>
      </c>
      <c r="G37" s="1" t="s">
        <v>45</v>
      </c>
      <c r="H37" s="1" t="s">
        <v>15</v>
      </c>
      <c r="I37" s="1" t="s">
        <v>38</v>
      </c>
      <c r="J37" s="7">
        <v>110</v>
      </c>
      <c r="K37" s="7">
        <v>126.76</v>
      </c>
      <c r="L37" s="8">
        <v>220</v>
      </c>
      <c r="M37" s="8">
        <v>253.52</v>
      </c>
      <c r="N37">
        <v>3</v>
      </c>
      <c r="O37" t="s">
        <v>123</v>
      </c>
      <c r="P37" t="s">
        <v>119</v>
      </c>
    </row>
    <row r="38" spans="1:16" x14ac:dyDescent="0.25">
      <c r="A38" s="10">
        <v>45692</v>
      </c>
      <c r="B38" s="1" t="s">
        <v>76</v>
      </c>
      <c r="C38" s="2">
        <v>1</v>
      </c>
      <c r="D38" s="1" t="s">
        <v>13</v>
      </c>
      <c r="E38" s="1" t="s">
        <v>13</v>
      </c>
      <c r="F38" s="3">
        <v>0</v>
      </c>
      <c r="G38" s="1" t="s">
        <v>77</v>
      </c>
      <c r="H38" s="1" t="s">
        <v>25</v>
      </c>
      <c r="I38" s="1" t="s">
        <v>26</v>
      </c>
      <c r="J38" s="7">
        <v>105</v>
      </c>
      <c r="K38" s="7">
        <v>119.89</v>
      </c>
      <c r="L38" s="8">
        <v>105</v>
      </c>
      <c r="M38" s="8">
        <v>119.89</v>
      </c>
      <c r="N38">
        <v>4</v>
      </c>
      <c r="O38" t="s">
        <v>123</v>
      </c>
      <c r="P38" t="s">
        <v>119</v>
      </c>
    </row>
    <row r="39" spans="1:16" x14ac:dyDescent="0.25">
      <c r="A39" s="10">
        <v>45692</v>
      </c>
      <c r="B39" s="1" t="s">
        <v>41</v>
      </c>
      <c r="C39" s="2">
        <v>7</v>
      </c>
      <c r="D39" s="1" t="s">
        <v>18</v>
      </c>
      <c r="E39" s="1" t="s">
        <v>13</v>
      </c>
      <c r="F39" s="3">
        <v>0</v>
      </c>
      <c r="G39" s="1" t="s">
        <v>42</v>
      </c>
      <c r="H39" s="1" t="s">
        <v>43</v>
      </c>
      <c r="I39" s="1" t="s">
        <v>26</v>
      </c>
      <c r="J39" s="7">
        <v>75</v>
      </c>
      <c r="K39" s="7">
        <v>84.9</v>
      </c>
      <c r="L39" s="8">
        <v>525</v>
      </c>
      <c r="M39" s="8">
        <v>594.30000000000007</v>
      </c>
      <c r="N39">
        <v>4</v>
      </c>
      <c r="O39" t="s">
        <v>123</v>
      </c>
      <c r="P39" t="s">
        <v>119</v>
      </c>
    </row>
    <row r="40" spans="1:16" x14ac:dyDescent="0.25">
      <c r="A40" s="10">
        <v>45693</v>
      </c>
      <c r="B40" s="1" t="s">
        <v>78</v>
      </c>
      <c r="C40" s="2">
        <v>2</v>
      </c>
      <c r="D40" s="1" t="s">
        <v>18</v>
      </c>
      <c r="E40" s="1" t="s">
        <v>23</v>
      </c>
      <c r="F40" s="3">
        <v>0</v>
      </c>
      <c r="G40" s="1" t="s">
        <v>79</v>
      </c>
      <c r="H40" s="1" t="s">
        <v>33</v>
      </c>
      <c r="I40" s="1" t="s">
        <v>21</v>
      </c>
      <c r="J40" s="7">
        <v>41</v>
      </c>
      <c r="K40" s="7">
        <v>48.14</v>
      </c>
      <c r="L40" s="8">
        <v>82</v>
      </c>
      <c r="M40" s="8">
        <v>96.28</v>
      </c>
      <c r="N40">
        <v>5</v>
      </c>
      <c r="O40" t="s">
        <v>123</v>
      </c>
      <c r="P40" t="s">
        <v>119</v>
      </c>
    </row>
    <row r="41" spans="1:16" x14ac:dyDescent="0.25">
      <c r="A41" s="10">
        <v>45693</v>
      </c>
      <c r="B41" s="1" t="s">
        <v>80</v>
      </c>
      <c r="C41" s="2">
        <v>1</v>
      </c>
      <c r="D41" s="1" t="s">
        <v>13</v>
      </c>
      <c r="E41" s="1" t="s">
        <v>23</v>
      </c>
      <c r="F41" s="3">
        <v>0</v>
      </c>
      <c r="G41" s="1" t="s">
        <v>81</v>
      </c>
      <c r="H41" s="1" t="s">
        <v>20</v>
      </c>
      <c r="I41" s="1" t="s">
        <v>26</v>
      </c>
      <c r="J41" s="7">
        <v>93</v>
      </c>
      <c r="K41" s="7">
        <v>107.56</v>
      </c>
      <c r="L41" s="8">
        <v>93</v>
      </c>
      <c r="M41" s="8">
        <v>107.56</v>
      </c>
      <c r="N41">
        <v>5</v>
      </c>
      <c r="O41" t="s">
        <v>123</v>
      </c>
      <c r="P41" t="s">
        <v>119</v>
      </c>
    </row>
    <row r="42" spans="1:16" x14ac:dyDescent="0.25">
      <c r="A42" s="10">
        <v>45694</v>
      </c>
      <c r="B42" s="1" t="s">
        <v>78</v>
      </c>
      <c r="C42" s="2">
        <v>11</v>
      </c>
      <c r="D42" s="1" t="s">
        <v>13</v>
      </c>
      <c r="E42" s="1" t="s">
        <v>23</v>
      </c>
      <c r="F42" s="3">
        <v>0</v>
      </c>
      <c r="G42" s="1" t="s">
        <v>79</v>
      </c>
      <c r="H42" s="1" t="s">
        <v>33</v>
      </c>
      <c r="I42" s="1" t="s">
        <v>21</v>
      </c>
      <c r="J42" s="7">
        <v>41</v>
      </c>
      <c r="K42" s="7">
        <v>45.84</v>
      </c>
      <c r="L42" s="8">
        <v>451</v>
      </c>
      <c r="M42" s="8">
        <v>504.24</v>
      </c>
      <c r="N42">
        <v>6</v>
      </c>
      <c r="O42" t="s">
        <v>123</v>
      </c>
      <c r="P42" t="s">
        <v>119</v>
      </c>
    </row>
    <row r="43" spans="1:16" x14ac:dyDescent="0.25">
      <c r="A43" s="10">
        <v>45695</v>
      </c>
      <c r="B43" s="1" t="s">
        <v>56</v>
      </c>
      <c r="C43" s="2">
        <v>7</v>
      </c>
      <c r="D43" s="1" t="s">
        <v>12</v>
      </c>
      <c r="E43" s="1" t="s">
        <v>23</v>
      </c>
      <c r="F43" s="3">
        <v>0</v>
      </c>
      <c r="G43" s="1" t="s">
        <v>57</v>
      </c>
      <c r="H43" s="1" t="s">
        <v>20</v>
      </c>
      <c r="I43" s="1" t="s">
        <v>26</v>
      </c>
      <c r="J43" s="7">
        <v>79</v>
      </c>
      <c r="K43" s="7">
        <v>88.48</v>
      </c>
      <c r="L43" s="8">
        <v>553</v>
      </c>
      <c r="M43" s="8">
        <v>619.36</v>
      </c>
      <c r="N43">
        <v>7</v>
      </c>
      <c r="O43" t="s">
        <v>123</v>
      </c>
      <c r="P43" t="s">
        <v>119</v>
      </c>
    </row>
    <row r="44" spans="1:16" x14ac:dyDescent="0.25">
      <c r="A44" s="10">
        <v>45695</v>
      </c>
      <c r="B44" s="1" t="s">
        <v>74</v>
      </c>
      <c r="C44" s="2">
        <v>8</v>
      </c>
      <c r="D44" s="1" t="s">
        <v>18</v>
      </c>
      <c r="E44" s="1" t="s">
        <v>13</v>
      </c>
      <c r="F44" s="3">
        <v>0</v>
      </c>
      <c r="G44" s="1" t="s">
        <v>75</v>
      </c>
      <c r="H44" s="1" t="s">
        <v>20</v>
      </c>
      <c r="I44" s="1" t="s">
        <v>21</v>
      </c>
      <c r="J44" s="7">
        <v>47</v>
      </c>
      <c r="K44" s="7">
        <v>54.66</v>
      </c>
      <c r="L44" s="8">
        <v>376</v>
      </c>
      <c r="M44" s="8">
        <v>437.28</v>
      </c>
      <c r="N44">
        <v>7</v>
      </c>
      <c r="O44" t="s">
        <v>123</v>
      </c>
      <c r="P44" t="s">
        <v>119</v>
      </c>
    </row>
    <row r="45" spans="1:16" x14ac:dyDescent="0.25">
      <c r="A45" s="10">
        <v>45696</v>
      </c>
      <c r="B45" s="1" t="s">
        <v>82</v>
      </c>
      <c r="C45" s="2">
        <v>1</v>
      </c>
      <c r="D45" s="1" t="s">
        <v>18</v>
      </c>
      <c r="E45" s="1" t="s">
        <v>13</v>
      </c>
      <c r="F45" s="3">
        <v>0</v>
      </c>
      <c r="G45" s="1" t="s">
        <v>83</v>
      </c>
      <c r="H45" s="1" t="s">
        <v>33</v>
      </c>
      <c r="I45" s="1" t="s">
        <v>16</v>
      </c>
      <c r="J45" s="7">
        <v>11</v>
      </c>
      <c r="K45" s="7">
        <v>12.57</v>
      </c>
      <c r="L45" s="8">
        <v>11</v>
      </c>
      <c r="M45" s="8">
        <v>12.57</v>
      </c>
      <c r="N45">
        <v>8</v>
      </c>
      <c r="O45" t="s">
        <v>123</v>
      </c>
      <c r="P45" t="s">
        <v>119</v>
      </c>
    </row>
    <row r="46" spans="1:16" x14ac:dyDescent="0.25">
      <c r="A46" s="10">
        <v>45696</v>
      </c>
      <c r="B46" s="1" t="s">
        <v>44</v>
      </c>
      <c r="C46" s="2">
        <v>10</v>
      </c>
      <c r="D46" s="1" t="s">
        <v>18</v>
      </c>
      <c r="E46" s="1" t="s">
        <v>13</v>
      </c>
      <c r="F46" s="3">
        <v>0</v>
      </c>
      <c r="G46" s="1" t="s">
        <v>45</v>
      </c>
      <c r="H46" s="1" t="s">
        <v>15</v>
      </c>
      <c r="I46" s="1" t="s">
        <v>38</v>
      </c>
      <c r="J46" s="7">
        <v>110</v>
      </c>
      <c r="K46" s="7">
        <v>122.39</v>
      </c>
      <c r="L46" s="8">
        <v>1100</v>
      </c>
      <c r="M46" s="8">
        <v>1223.9000000000001</v>
      </c>
      <c r="N46">
        <v>8</v>
      </c>
      <c r="O46" t="s">
        <v>123</v>
      </c>
      <c r="P46" t="s">
        <v>119</v>
      </c>
    </row>
    <row r="47" spans="1:16" x14ac:dyDescent="0.25">
      <c r="A47" s="10">
        <v>45696</v>
      </c>
      <c r="B47" s="1" t="s">
        <v>39</v>
      </c>
      <c r="C47" s="2">
        <v>13</v>
      </c>
      <c r="D47" s="1" t="s">
        <v>12</v>
      </c>
      <c r="E47" s="1" t="s">
        <v>23</v>
      </c>
      <c r="F47" s="3">
        <v>0</v>
      </c>
      <c r="G47" s="1" t="s">
        <v>40</v>
      </c>
      <c r="H47" s="1" t="s">
        <v>33</v>
      </c>
      <c r="I47" s="1" t="s">
        <v>38</v>
      </c>
      <c r="J47" s="7">
        <v>98</v>
      </c>
      <c r="K47" s="7">
        <v>112.65</v>
      </c>
      <c r="L47" s="8">
        <v>1274</v>
      </c>
      <c r="M47" s="8">
        <v>1464.45</v>
      </c>
      <c r="N47">
        <v>8</v>
      </c>
      <c r="O47" t="s">
        <v>123</v>
      </c>
      <c r="P47" t="s">
        <v>119</v>
      </c>
    </row>
    <row r="48" spans="1:16" x14ac:dyDescent="0.25">
      <c r="A48" s="10">
        <v>45697</v>
      </c>
      <c r="B48" s="1" t="s">
        <v>48</v>
      </c>
      <c r="C48" s="2">
        <v>4</v>
      </c>
      <c r="D48" s="1" t="s">
        <v>13</v>
      </c>
      <c r="E48" s="1" t="s">
        <v>13</v>
      </c>
      <c r="F48" s="3">
        <v>0</v>
      </c>
      <c r="G48" s="1" t="s">
        <v>49</v>
      </c>
      <c r="H48" s="1" t="s">
        <v>15</v>
      </c>
      <c r="I48" s="1" t="s">
        <v>26</v>
      </c>
      <c r="J48" s="7">
        <v>67</v>
      </c>
      <c r="K48" s="7">
        <v>72.900000000000006</v>
      </c>
      <c r="L48" s="8">
        <v>268</v>
      </c>
      <c r="M48" s="8">
        <v>291.60000000000002</v>
      </c>
      <c r="N48">
        <v>9</v>
      </c>
      <c r="O48" t="s">
        <v>123</v>
      </c>
      <c r="P48" t="s">
        <v>119</v>
      </c>
    </row>
    <row r="49" spans="1:16" x14ac:dyDescent="0.25">
      <c r="A49" s="10">
        <v>45697</v>
      </c>
      <c r="B49" s="1" t="s">
        <v>84</v>
      </c>
      <c r="C49" s="2">
        <v>14</v>
      </c>
      <c r="D49" s="1" t="s">
        <v>12</v>
      </c>
      <c r="E49" s="1" t="s">
        <v>23</v>
      </c>
      <c r="F49" s="3">
        <v>0</v>
      </c>
      <c r="G49" s="1" t="s">
        <v>85</v>
      </c>
      <c r="H49" s="1" t="s">
        <v>33</v>
      </c>
      <c r="I49" s="1" t="s">
        <v>38</v>
      </c>
      <c r="J49" s="7">
        <v>120</v>
      </c>
      <c r="K49" s="7">
        <v>135.15</v>
      </c>
      <c r="L49" s="8">
        <v>1680</v>
      </c>
      <c r="M49" s="8">
        <v>1892.1000000000001</v>
      </c>
      <c r="N49">
        <v>9</v>
      </c>
      <c r="O49" t="s">
        <v>123</v>
      </c>
      <c r="P49" t="s">
        <v>119</v>
      </c>
    </row>
    <row r="50" spans="1:16" x14ac:dyDescent="0.25">
      <c r="A50" s="10">
        <v>45698</v>
      </c>
      <c r="B50" s="1" t="s">
        <v>68</v>
      </c>
      <c r="C50" s="2">
        <v>14</v>
      </c>
      <c r="D50" s="1" t="s">
        <v>13</v>
      </c>
      <c r="E50" s="1" t="s">
        <v>13</v>
      </c>
      <c r="F50" s="3">
        <v>0</v>
      </c>
      <c r="G50" s="1" t="s">
        <v>69</v>
      </c>
      <c r="H50" s="1" t="s">
        <v>15</v>
      </c>
      <c r="I50" s="1" t="s">
        <v>38</v>
      </c>
      <c r="J50" s="7">
        <v>130</v>
      </c>
      <c r="K50" s="7">
        <v>151.24</v>
      </c>
      <c r="L50" s="8">
        <v>1820</v>
      </c>
      <c r="M50" s="8">
        <v>2117.36</v>
      </c>
      <c r="N50">
        <v>10</v>
      </c>
      <c r="O50" t="s">
        <v>123</v>
      </c>
      <c r="P50" t="s">
        <v>119</v>
      </c>
    </row>
    <row r="51" spans="1:16" x14ac:dyDescent="0.25">
      <c r="A51" s="10">
        <v>45698</v>
      </c>
      <c r="B51" s="1" t="s">
        <v>86</v>
      </c>
      <c r="C51" s="2">
        <v>10</v>
      </c>
      <c r="D51" s="1" t="s">
        <v>12</v>
      </c>
      <c r="E51" s="1" t="s">
        <v>23</v>
      </c>
      <c r="F51" s="3">
        <v>0</v>
      </c>
      <c r="G51" s="1" t="s">
        <v>87</v>
      </c>
      <c r="H51" s="1" t="s">
        <v>20</v>
      </c>
      <c r="I51" s="1" t="s">
        <v>21</v>
      </c>
      <c r="J51" s="7">
        <v>53</v>
      </c>
      <c r="K51" s="7">
        <v>57.66</v>
      </c>
      <c r="L51" s="8">
        <v>530</v>
      </c>
      <c r="M51" s="8">
        <v>576.59999999999991</v>
      </c>
      <c r="N51">
        <v>10</v>
      </c>
      <c r="O51" t="s">
        <v>123</v>
      </c>
      <c r="P51" t="s">
        <v>119</v>
      </c>
    </row>
    <row r="52" spans="1:16" x14ac:dyDescent="0.25">
      <c r="A52" s="10">
        <v>45699</v>
      </c>
      <c r="B52" s="1" t="s">
        <v>88</v>
      </c>
      <c r="C52" s="2">
        <v>11</v>
      </c>
      <c r="D52" s="1" t="s">
        <v>12</v>
      </c>
      <c r="E52" s="1" t="s">
        <v>23</v>
      </c>
      <c r="F52" s="3">
        <v>0</v>
      </c>
      <c r="G52" s="1" t="s">
        <v>89</v>
      </c>
      <c r="H52" s="1" t="s">
        <v>33</v>
      </c>
      <c r="I52" s="1" t="s">
        <v>26</v>
      </c>
      <c r="J52" s="7">
        <v>76</v>
      </c>
      <c r="K52" s="7">
        <v>83.44</v>
      </c>
      <c r="L52" s="8">
        <v>836</v>
      </c>
      <c r="M52" s="8">
        <v>917.83999999999992</v>
      </c>
      <c r="N52">
        <v>11</v>
      </c>
      <c r="O52" t="s">
        <v>123</v>
      </c>
      <c r="P52" t="s">
        <v>119</v>
      </c>
    </row>
    <row r="53" spans="1:16" x14ac:dyDescent="0.25">
      <c r="A53" s="10">
        <v>45700</v>
      </c>
      <c r="B53" s="1" t="s">
        <v>84</v>
      </c>
      <c r="C53" s="2">
        <v>7</v>
      </c>
      <c r="D53" s="1" t="s">
        <v>13</v>
      </c>
      <c r="E53" s="1" t="s">
        <v>13</v>
      </c>
      <c r="F53" s="3">
        <v>0</v>
      </c>
      <c r="G53" s="1" t="s">
        <v>85</v>
      </c>
      <c r="H53" s="1" t="s">
        <v>33</v>
      </c>
      <c r="I53" s="1" t="s">
        <v>38</v>
      </c>
      <c r="J53" s="7">
        <v>120</v>
      </c>
      <c r="K53" s="7">
        <v>132.72</v>
      </c>
      <c r="L53" s="8">
        <v>840</v>
      </c>
      <c r="M53" s="8">
        <v>929.04</v>
      </c>
      <c r="N53">
        <v>12</v>
      </c>
      <c r="O53" t="s">
        <v>123</v>
      </c>
      <c r="P53" t="s">
        <v>119</v>
      </c>
    </row>
    <row r="54" spans="1:16" x14ac:dyDescent="0.25">
      <c r="A54" s="10">
        <v>45700</v>
      </c>
      <c r="B54" s="1" t="s">
        <v>90</v>
      </c>
      <c r="C54" s="2">
        <v>14</v>
      </c>
      <c r="D54" s="1" t="s">
        <v>13</v>
      </c>
      <c r="E54" s="1" t="s">
        <v>13</v>
      </c>
      <c r="F54" s="3">
        <v>0</v>
      </c>
      <c r="G54" s="1" t="s">
        <v>91</v>
      </c>
      <c r="H54" s="1" t="s">
        <v>20</v>
      </c>
      <c r="I54" s="1" t="s">
        <v>26</v>
      </c>
      <c r="J54" s="7">
        <v>89</v>
      </c>
      <c r="K54" s="7">
        <v>103.76</v>
      </c>
      <c r="L54" s="8">
        <v>1246</v>
      </c>
      <c r="M54" s="8">
        <v>1452.64</v>
      </c>
      <c r="N54">
        <v>12</v>
      </c>
      <c r="O54" t="s">
        <v>123</v>
      </c>
      <c r="P54" t="s">
        <v>119</v>
      </c>
    </row>
    <row r="55" spans="1:16" x14ac:dyDescent="0.25">
      <c r="A55" s="10">
        <v>45700</v>
      </c>
      <c r="B55" s="1" t="s">
        <v>46</v>
      </c>
      <c r="C55" s="2">
        <v>3</v>
      </c>
      <c r="D55" s="1" t="s">
        <v>13</v>
      </c>
      <c r="E55" s="1" t="s">
        <v>23</v>
      </c>
      <c r="F55" s="3">
        <v>0</v>
      </c>
      <c r="G55" s="1" t="s">
        <v>47</v>
      </c>
      <c r="H55" s="1" t="s">
        <v>15</v>
      </c>
      <c r="I55" s="1" t="s">
        <v>16</v>
      </c>
      <c r="J55" s="7">
        <v>8</v>
      </c>
      <c r="K55" s="7">
        <v>8.89</v>
      </c>
      <c r="L55" s="8">
        <v>24</v>
      </c>
      <c r="M55" s="8">
        <v>26.67</v>
      </c>
      <c r="N55">
        <v>12</v>
      </c>
      <c r="O55" t="s">
        <v>123</v>
      </c>
      <c r="P55" t="s">
        <v>119</v>
      </c>
    </row>
    <row r="56" spans="1:16" x14ac:dyDescent="0.25">
      <c r="A56" s="10">
        <v>45701</v>
      </c>
      <c r="B56" s="1" t="s">
        <v>66</v>
      </c>
      <c r="C56" s="2">
        <v>9</v>
      </c>
      <c r="D56" s="1" t="s">
        <v>13</v>
      </c>
      <c r="E56" s="1" t="s">
        <v>13</v>
      </c>
      <c r="F56" s="3">
        <v>0</v>
      </c>
      <c r="G56" s="1" t="s">
        <v>67</v>
      </c>
      <c r="H56" s="1" t="s">
        <v>15</v>
      </c>
      <c r="I56" s="1" t="s">
        <v>21</v>
      </c>
      <c r="J56" s="7">
        <v>61</v>
      </c>
      <c r="K56" s="7">
        <v>69.97</v>
      </c>
      <c r="L56" s="8">
        <v>549</v>
      </c>
      <c r="M56" s="8">
        <v>629.73</v>
      </c>
      <c r="N56">
        <v>13</v>
      </c>
      <c r="O56" t="s">
        <v>123</v>
      </c>
      <c r="P56" t="s">
        <v>119</v>
      </c>
    </row>
    <row r="57" spans="1:16" x14ac:dyDescent="0.25">
      <c r="A57" s="10">
        <v>45701</v>
      </c>
      <c r="B57" s="1" t="s">
        <v>64</v>
      </c>
      <c r="C57" s="2">
        <v>14</v>
      </c>
      <c r="D57" s="1" t="s">
        <v>12</v>
      </c>
      <c r="E57" s="1" t="s">
        <v>23</v>
      </c>
      <c r="F57" s="3">
        <v>0.08</v>
      </c>
      <c r="G57" s="1" t="s">
        <v>65</v>
      </c>
      <c r="H57" s="1" t="s">
        <v>25</v>
      </c>
      <c r="I57" s="1" t="s">
        <v>26</v>
      </c>
      <c r="J57" s="7">
        <v>60</v>
      </c>
      <c r="K57" s="7">
        <v>62.13</v>
      </c>
      <c r="L57" s="8">
        <v>840</v>
      </c>
      <c r="M57" s="8">
        <v>869.82</v>
      </c>
      <c r="N57">
        <v>13</v>
      </c>
      <c r="O57" t="s">
        <v>123</v>
      </c>
      <c r="P57" t="s">
        <v>119</v>
      </c>
    </row>
    <row r="58" spans="1:16" x14ac:dyDescent="0.25">
      <c r="A58" s="10">
        <v>45701</v>
      </c>
      <c r="B58" s="1" t="s">
        <v>92</v>
      </c>
      <c r="C58" s="2">
        <v>2</v>
      </c>
      <c r="D58" s="1" t="s">
        <v>18</v>
      </c>
      <c r="E58" s="1" t="s">
        <v>13</v>
      </c>
      <c r="F58" s="3">
        <v>0.02</v>
      </c>
      <c r="G58" s="1" t="s">
        <v>93</v>
      </c>
      <c r="H58" s="1" t="s">
        <v>33</v>
      </c>
      <c r="I58" s="1" t="s">
        <v>26</v>
      </c>
      <c r="J58" s="7">
        <v>72</v>
      </c>
      <c r="K58" s="7">
        <v>79.27</v>
      </c>
      <c r="L58" s="8">
        <v>144</v>
      </c>
      <c r="M58" s="8">
        <v>158.54</v>
      </c>
      <c r="N58">
        <v>13</v>
      </c>
      <c r="O58" t="s">
        <v>123</v>
      </c>
      <c r="P58" t="s">
        <v>119</v>
      </c>
    </row>
    <row r="59" spans="1:16" x14ac:dyDescent="0.25">
      <c r="A59" s="10">
        <v>45702</v>
      </c>
      <c r="B59" s="1" t="s">
        <v>94</v>
      </c>
      <c r="C59" s="2">
        <v>11</v>
      </c>
      <c r="D59" s="1" t="s">
        <v>13</v>
      </c>
      <c r="E59" s="1" t="s">
        <v>23</v>
      </c>
      <c r="F59" s="3">
        <v>0</v>
      </c>
      <c r="G59" s="1" t="s">
        <v>95</v>
      </c>
      <c r="H59" s="1" t="s">
        <v>20</v>
      </c>
      <c r="I59" s="1" t="s">
        <v>26</v>
      </c>
      <c r="J59" s="7">
        <v>56</v>
      </c>
      <c r="K59" s="7">
        <v>65.72</v>
      </c>
      <c r="L59" s="8">
        <v>616</v>
      </c>
      <c r="M59" s="8">
        <v>722.92</v>
      </c>
      <c r="N59">
        <v>14</v>
      </c>
      <c r="O59" t="s">
        <v>123</v>
      </c>
      <c r="P59" t="s">
        <v>119</v>
      </c>
    </row>
    <row r="60" spans="1:16" x14ac:dyDescent="0.25">
      <c r="A60" s="10">
        <v>45702</v>
      </c>
      <c r="B60" s="1" t="s">
        <v>52</v>
      </c>
      <c r="C60" s="2">
        <v>7</v>
      </c>
      <c r="D60" s="1" t="s">
        <v>13</v>
      </c>
      <c r="E60" s="1" t="s">
        <v>13</v>
      </c>
      <c r="F60" s="3">
        <v>0</v>
      </c>
      <c r="G60" s="1" t="s">
        <v>53</v>
      </c>
      <c r="H60" s="1" t="s">
        <v>25</v>
      </c>
      <c r="I60" s="1" t="s">
        <v>21</v>
      </c>
      <c r="J60" s="7">
        <v>58</v>
      </c>
      <c r="K60" s="7">
        <v>63.16</v>
      </c>
      <c r="L60" s="8">
        <v>406</v>
      </c>
      <c r="M60" s="8">
        <v>442.12</v>
      </c>
      <c r="N60">
        <v>14</v>
      </c>
      <c r="O60" t="s">
        <v>123</v>
      </c>
      <c r="P60" t="s">
        <v>119</v>
      </c>
    </row>
    <row r="61" spans="1:16" x14ac:dyDescent="0.25">
      <c r="A61" s="10">
        <v>45702</v>
      </c>
      <c r="B61" s="1" t="s">
        <v>74</v>
      </c>
      <c r="C61" s="2">
        <v>14</v>
      </c>
      <c r="D61" s="1" t="s">
        <v>12</v>
      </c>
      <c r="E61" s="1" t="s">
        <v>23</v>
      </c>
      <c r="F61" s="3">
        <v>0.08</v>
      </c>
      <c r="G61" s="1" t="s">
        <v>75</v>
      </c>
      <c r="H61" s="1" t="s">
        <v>20</v>
      </c>
      <c r="I61" s="1" t="s">
        <v>21</v>
      </c>
      <c r="J61" s="7">
        <v>47</v>
      </c>
      <c r="K61" s="7">
        <v>50.43</v>
      </c>
      <c r="L61" s="8">
        <v>658</v>
      </c>
      <c r="M61" s="8">
        <v>706.02</v>
      </c>
      <c r="N61">
        <v>14</v>
      </c>
      <c r="O61" t="s">
        <v>123</v>
      </c>
      <c r="P61" t="s">
        <v>119</v>
      </c>
    </row>
    <row r="62" spans="1:16" x14ac:dyDescent="0.25">
      <c r="A62" s="10">
        <v>45704</v>
      </c>
      <c r="B62" s="1" t="s">
        <v>48</v>
      </c>
      <c r="C62" s="2">
        <v>6</v>
      </c>
      <c r="D62" s="1" t="s">
        <v>18</v>
      </c>
      <c r="E62" s="1" t="s">
        <v>23</v>
      </c>
      <c r="F62" s="3">
        <v>0</v>
      </c>
      <c r="G62" s="1" t="s">
        <v>49</v>
      </c>
      <c r="H62" s="1" t="s">
        <v>15</v>
      </c>
      <c r="I62" s="1" t="s">
        <v>26</v>
      </c>
      <c r="J62" s="7">
        <v>67</v>
      </c>
      <c r="K62" s="7">
        <v>77.63</v>
      </c>
      <c r="L62" s="8">
        <v>402</v>
      </c>
      <c r="M62" s="8">
        <v>465.78</v>
      </c>
      <c r="N62">
        <v>16</v>
      </c>
      <c r="O62" t="s">
        <v>123</v>
      </c>
      <c r="P62" t="s">
        <v>119</v>
      </c>
    </row>
    <row r="63" spans="1:16" x14ac:dyDescent="0.25">
      <c r="A63" s="10">
        <v>45704</v>
      </c>
      <c r="B63" s="1" t="s">
        <v>82</v>
      </c>
      <c r="C63" s="2">
        <v>4</v>
      </c>
      <c r="D63" s="1" t="s">
        <v>18</v>
      </c>
      <c r="E63" s="1" t="s">
        <v>23</v>
      </c>
      <c r="F63" s="3">
        <v>0.05</v>
      </c>
      <c r="G63" s="1" t="s">
        <v>83</v>
      </c>
      <c r="H63" s="1" t="s">
        <v>33</v>
      </c>
      <c r="I63" s="1" t="s">
        <v>16</v>
      </c>
      <c r="J63" s="7">
        <v>11</v>
      </c>
      <c r="K63" s="7">
        <v>11.54</v>
      </c>
      <c r="L63" s="8">
        <v>44</v>
      </c>
      <c r="M63" s="8">
        <v>46.16</v>
      </c>
      <c r="N63">
        <v>16</v>
      </c>
      <c r="O63" t="s">
        <v>123</v>
      </c>
      <c r="P63" t="s">
        <v>119</v>
      </c>
    </row>
    <row r="64" spans="1:16" x14ac:dyDescent="0.25">
      <c r="A64" s="10">
        <v>45704</v>
      </c>
      <c r="B64" s="1" t="s">
        <v>41</v>
      </c>
      <c r="C64" s="2">
        <v>2</v>
      </c>
      <c r="D64" s="1" t="s">
        <v>13</v>
      </c>
      <c r="E64" s="1" t="s">
        <v>13</v>
      </c>
      <c r="F64" s="3">
        <v>0</v>
      </c>
      <c r="G64" s="1" t="s">
        <v>42</v>
      </c>
      <c r="H64" s="1" t="s">
        <v>43</v>
      </c>
      <c r="I64" s="1" t="s">
        <v>26</v>
      </c>
      <c r="J64" s="7">
        <v>75</v>
      </c>
      <c r="K64" s="7">
        <v>85.17</v>
      </c>
      <c r="L64" s="8">
        <v>150</v>
      </c>
      <c r="M64" s="8">
        <v>170.34</v>
      </c>
      <c r="N64">
        <v>16</v>
      </c>
      <c r="O64" t="s">
        <v>123</v>
      </c>
      <c r="P64" t="s">
        <v>119</v>
      </c>
    </row>
    <row r="65" spans="1:16" x14ac:dyDescent="0.25">
      <c r="A65" s="10">
        <v>45704</v>
      </c>
      <c r="B65" s="1" t="s">
        <v>27</v>
      </c>
      <c r="C65" s="2">
        <v>13</v>
      </c>
      <c r="D65" s="1" t="s">
        <v>18</v>
      </c>
      <c r="E65" s="1" t="s">
        <v>23</v>
      </c>
      <c r="F65" s="3">
        <v>0</v>
      </c>
      <c r="G65" s="1" t="s">
        <v>28</v>
      </c>
      <c r="H65" s="1" t="s">
        <v>25</v>
      </c>
      <c r="I65" s="1" t="s">
        <v>26</v>
      </c>
      <c r="J65" s="7">
        <v>47</v>
      </c>
      <c r="K65" s="7">
        <v>54.79</v>
      </c>
      <c r="L65" s="8">
        <v>611</v>
      </c>
      <c r="M65" s="8">
        <v>712.27</v>
      </c>
      <c r="N65">
        <v>16</v>
      </c>
      <c r="O65" t="s">
        <v>123</v>
      </c>
      <c r="P65" t="s">
        <v>119</v>
      </c>
    </row>
    <row r="66" spans="1:16" x14ac:dyDescent="0.25">
      <c r="A66" s="10">
        <v>45705</v>
      </c>
      <c r="B66" s="1" t="s">
        <v>56</v>
      </c>
      <c r="C66" s="2">
        <v>11</v>
      </c>
      <c r="D66" s="1" t="s">
        <v>18</v>
      </c>
      <c r="E66" s="1" t="s">
        <v>13</v>
      </c>
      <c r="F66" s="3">
        <v>0</v>
      </c>
      <c r="G66" s="1" t="s">
        <v>57</v>
      </c>
      <c r="H66" s="1" t="s">
        <v>20</v>
      </c>
      <c r="I66" s="1" t="s">
        <v>26</v>
      </c>
      <c r="J66" s="7">
        <v>79</v>
      </c>
      <c r="K66" s="7">
        <v>91.61</v>
      </c>
      <c r="L66" s="8">
        <v>869</v>
      </c>
      <c r="M66" s="8">
        <v>1007.71</v>
      </c>
      <c r="N66">
        <v>17</v>
      </c>
      <c r="O66" t="s">
        <v>123</v>
      </c>
      <c r="P66" t="s">
        <v>119</v>
      </c>
    </row>
    <row r="67" spans="1:16" x14ac:dyDescent="0.25">
      <c r="A67" s="10">
        <v>45705</v>
      </c>
      <c r="B67" s="1" t="s">
        <v>54</v>
      </c>
      <c r="C67" s="2">
        <v>15</v>
      </c>
      <c r="D67" s="1" t="s">
        <v>13</v>
      </c>
      <c r="E67" s="1" t="s">
        <v>13</v>
      </c>
      <c r="F67" s="3">
        <v>0</v>
      </c>
      <c r="G67" s="1" t="s">
        <v>55</v>
      </c>
      <c r="H67" s="1" t="s">
        <v>43</v>
      </c>
      <c r="I67" s="1" t="s">
        <v>26</v>
      </c>
      <c r="J67" s="7">
        <v>71</v>
      </c>
      <c r="K67" s="7">
        <v>79.319999999999993</v>
      </c>
      <c r="L67" s="8">
        <v>1065</v>
      </c>
      <c r="M67" s="8">
        <v>1189.8</v>
      </c>
      <c r="N67">
        <v>17</v>
      </c>
      <c r="O67" t="s">
        <v>123</v>
      </c>
      <c r="P67" t="s">
        <v>119</v>
      </c>
    </row>
    <row r="68" spans="1:16" x14ac:dyDescent="0.25">
      <c r="A68" s="10">
        <v>45706</v>
      </c>
      <c r="B68" s="1" t="s">
        <v>96</v>
      </c>
      <c r="C68" s="2">
        <v>15</v>
      </c>
      <c r="D68" s="1" t="s">
        <v>13</v>
      </c>
      <c r="E68" s="1" t="s">
        <v>23</v>
      </c>
      <c r="F68" s="3">
        <v>0</v>
      </c>
      <c r="G68" s="1" t="s">
        <v>97</v>
      </c>
      <c r="H68" s="1" t="s">
        <v>20</v>
      </c>
      <c r="I68" s="1" t="s">
        <v>21</v>
      </c>
      <c r="J68" s="7">
        <v>55</v>
      </c>
      <c r="K68" s="7">
        <v>63.21</v>
      </c>
      <c r="L68" s="8">
        <v>825</v>
      </c>
      <c r="M68" s="8">
        <v>948.15</v>
      </c>
      <c r="N68">
        <v>18</v>
      </c>
      <c r="O68" t="s">
        <v>123</v>
      </c>
      <c r="P68" t="s">
        <v>119</v>
      </c>
    </row>
    <row r="69" spans="1:16" x14ac:dyDescent="0.25">
      <c r="A69" s="10">
        <v>45707</v>
      </c>
      <c r="B69" s="1" t="s">
        <v>82</v>
      </c>
      <c r="C69" s="2">
        <v>7</v>
      </c>
      <c r="D69" s="1" t="s">
        <v>13</v>
      </c>
      <c r="E69" s="1" t="s">
        <v>13</v>
      </c>
      <c r="F69" s="3">
        <v>0</v>
      </c>
      <c r="G69" s="1" t="s">
        <v>83</v>
      </c>
      <c r="H69" s="1" t="s">
        <v>33</v>
      </c>
      <c r="I69" s="1" t="s">
        <v>16</v>
      </c>
      <c r="J69" s="7">
        <v>11</v>
      </c>
      <c r="K69" s="7">
        <v>12.68</v>
      </c>
      <c r="L69" s="8">
        <v>77</v>
      </c>
      <c r="M69" s="8">
        <v>88.759999999999991</v>
      </c>
      <c r="N69">
        <v>19</v>
      </c>
      <c r="O69" t="s">
        <v>123</v>
      </c>
      <c r="P69" t="s">
        <v>119</v>
      </c>
    </row>
    <row r="70" spans="1:16" x14ac:dyDescent="0.25">
      <c r="A70" s="10">
        <v>45707</v>
      </c>
      <c r="B70" s="1" t="s">
        <v>62</v>
      </c>
      <c r="C70" s="2">
        <v>15</v>
      </c>
      <c r="D70" s="1" t="s">
        <v>18</v>
      </c>
      <c r="E70" s="1" t="s">
        <v>13</v>
      </c>
      <c r="F70" s="3">
        <v>0</v>
      </c>
      <c r="G70" s="1" t="s">
        <v>63</v>
      </c>
      <c r="H70" s="1" t="s">
        <v>15</v>
      </c>
      <c r="I70" s="1" t="s">
        <v>38</v>
      </c>
      <c r="J70" s="7">
        <v>95</v>
      </c>
      <c r="K70" s="7">
        <v>108.97</v>
      </c>
      <c r="L70" s="8">
        <v>1425</v>
      </c>
      <c r="M70" s="8">
        <v>1634.55</v>
      </c>
      <c r="N70">
        <v>19</v>
      </c>
      <c r="O70" t="s">
        <v>123</v>
      </c>
      <c r="P70" t="s">
        <v>119</v>
      </c>
    </row>
    <row r="71" spans="1:16" x14ac:dyDescent="0.25">
      <c r="A71" s="10">
        <v>45707</v>
      </c>
      <c r="B71" s="1" t="s">
        <v>98</v>
      </c>
      <c r="C71" s="2">
        <v>7</v>
      </c>
      <c r="D71" s="1" t="s">
        <v>18</v>
      </c>
      <c r="E71" s="1" t="s">
        <v>13</v>
      </c>
      <c r="F71" s="3">
        <v>0</v>
      </c>
      <c r="G71" s="1" t="s">
        <v>99</v>
      </c>
      <c r="H71" s="1" t="s">
        <v>43</v>
      </c>
      <c r="I71" s="1" t="s">
        <v>21</v>
      </c>
      <c r="J71" s="7">
        <v>44</v>
      </c>
      <c r="K71" s="7">
        <v>49.11</v>
      </c>
      <c r="L71" s="8">
        <v>308</v>
      </c>
      <c r="M71" s="8">
        <v>343.77</v>
      </c>
      <c r="N71">
        <v>19</v>
      </c>
      <c r="O71" t="s">
        <v>123</v>
      </c>
      <c r="P71" t="s">
        <v>119</v>
      </c>
    </row>
    <row r="72" spans="1:16" x14ac:dyDescent="0.25">
      <c r="A72" s="10">
        <v>45709</v>
      </c>
      <c r="B72" s="1" t="s">
        <v>62</v>
      </c>
      <c r="C72" s="2">
        <v>11</v>
      </c>
      <c r="D72" s="1" t="s">
        <v>13</v>
      </c>
      <c r="E72" s="1" t="s">
        <v>23</v>
      </c>
      <c r="F72" s="3">
        <v>0</v>
      </c>
      <c r="G72" s="1" t="s">
        <v>63</v>
      </c>
      <c r="H72" s="1" t="s">
        <v>15</v>
      </c>
      <c r="I72" s="1" t="s">
        <v>38</v>
      </c>
      <c r="J72" s="7">
        <v>95</v>
      </c>
      <c r="K72" s="7">
        <v>111.6</v>
      </c>
      <c r="L72" s="8">
        <v>1045</v>
      </c>
      <c r="M72" s="8">
        <v>1227.5999999999999</v>
      </c>
      <c r="N72">
        <v>21</v>
      </c>
      <c r="O72" t="s">
        <v>123</v>
      </c>
      <c r="P72" t="s">
        <v>119</v>
      </c>
    </row>
    <row r="73" spans="1:16" x14ac:dyDescent="0.25">
      <c r="A73" s="10">
        <v>45710</v>
      </c>
      <c r="B73" s="1" t="s">
        <v>84</v>
      </c>
      <c r="C73" s="2">
        <v>13</v>
      </c>
      <c r="D73" s="1" t="s">
        <v>13</v>
      </c>
      <c r="E73" s="1" t="s">
        <v>23</v>
      </c>
      <c r="F73" s="3">
        <v>0</v>
      </c>
      <c r="G73" s="1" t="s">
        <v>85</v>
      </c>
      <c r="H73" s="1" t="s">
        <v>33</v>
      </c>
      <c r="I73" s="1" t="s">
        <v>38</v>
      </c>
      <c r="J73" s="7">
        <v>120</v>
      </c>
      <c r="K73" s="7">
        <v>133.78</v>
      </c>
      <c r="L73" s="8">
        <v>1560</v>
      </c>
      <c r="M73" s="8">
        <v>1739.14</v>
      </c>
      <c r="N73">
        <v>22</v>
      </c>
      <c r="O73" t="s">
        <v>123</v>
      </c>
      <c r="P73" t="s">
        <v>119</v>
      </c>
    </row>
    <row r="74" spans="1:16" x14ac:dyDescent="0.25">
      <c r="A74" s="10">
        <v>45710</v>
      </c>
      <c r="B74" s="1" t="s">
        <v>100</v>
      </c>
      <c r="C74" s="2">
        <v>6</v>
      </c>
      <c r="D74" s="1" t="s">
        <v>13</v>
      </c>
      <c r="E74" s="1" t="s">
        <v>13</v>
      </c>
      <c r="F74" s="3">
        <v>0</v>
      </c>
      <c r="G74" s="1" t="s">
        <v>101</v>
      </c>
      <c r="H74" s="1" t="s">
        <v>25</v>
      </c>
      <c r="I74" s="1" t="s">
        <v>26</v>
      </c>
      <c r="J74" s="7">
        <v>88</v>
      </c>
      <c r="K74" s="7">
        <v>101.85</v>
      </c>
      <c r="L74" s="8">
        <v>528</v>
      </c>
      <c r="M74" s="8">
        <v>611.09999999999991</v>
      </c>
      <c r="N74">
        <v>22</v>
      </c>
      <c r="O74" t="s">
        <v>123</v>
      </c>
      <c r="P74" t="s">
        <v>119</v>
      </c>
    </row>
    <row r="75" spans="1:16" x14ac:dyDescent="0.25">
      <c r="A75" s="10">
        <v>45711</v>
      </c>
      <c r="B75" s="1" t="s">
        <v>22</v>
      </c>
      <c r="C75" s="2">
        <v>9</v>
      </c>
      <c r="D75" s="1" t="s">
        <v>12</v>
      </c>
      <c r="E75" s="1" t="s">
        <v>13</v>
      </c>
      <c r="F75" s="3">
        <v>0.02</v>
      </c>
      <c r="G75" s="1" t="s">
        <v>24</v>
      </c>
      <c r="H75" s="1" t="s">
        <v>25</v>
      </c>
      <c r="I75" s="1" t="s">
        <v>26</v>
      </c>
      <c r="J75" s="7">
        <v>112</v>
      </c>
      <c r="K75" s="7">
        <v>126.35</v>
      </c>
      <c r="L75" s="8">
        <v>1008</v>
      </c>
      <c r="M75" s="8">
        <v>1137.1499999999999</v>
      </c>
      <c r="N75">
        <v>23</v>
      </c>
      <c r="O75" t="s">
        <v>123</v>
      </c>
      <c r="P75" t="s">
        <v>119</v>
      </c>
    </row>
    <row r="76" spans="1:16" x14ac:dyDescent="0.25">
      <c r="A76" s="10">
        <v>45712</v>
      </c>
      <c r="B76" s="1" t="s">
        <v>86</v>
      </c>
      <c r="C76" s="2">
        <v>6</v>
      </c>
      <c r="D76" s="1" t="s">
        <v>18</v>
      </c>
      <c r="E76" s="1" t="s">
        <v>13</v>
      </c>
      <c r="F76" s="3">
        <v>0</v>
      </c>
      <c r="G76" s="1" t="s">
        <v>87</v>
      </c>
      <c r="H76" s="1" t="s">
        <v>20</v>
      </c>
      <c r="I76" s="1" t="s">
        <v>21</v>
      </c>
      <c r="J76" s="7">
        <v>53</v>
      </c>
      <c r="K76" s="7">
        <v>59.55</v>
      </c>
      <c r="L76" s="8">
        <v>318</v>
      </c>
      <c r="M76" s="8">
        <v>357.29999999999995</v>
      </c>
      <c r="N76">
        <v>24</v>
      </c>
      <c r="O76" t="s">
        <v>123</v>
      </c>
      <c r="P76" t="s">
        <v>119</v>
      </c>
    </row>
    <row r="77" spans="1:16" x14ac:dyDescent="0.25">
      <c r="A77" s="10">
        <v>45712</v>
      </c>
      <c r="B77" s="1" t="s">
        <v>41</v>
      </c>
      <c r="C77" s="2">
        <v>1</v>
      </c>
      <c r="D77" s="1" t="s">
        <v>12</v>
      </c>
      <c r="E77" s="1" t="s">
        <v>13</v>
      </c>
      <c r="F77" s="3">
        <v>0.08</v>
      </c>
      <c r="G77" s="1" t="s">
        <v>42</v>
      </c>
      <c r="H77" s="1" t="s">
        <v>43</v>
      </c>
      <c r="I77" s="1" t="s">
        <v>26</v>
      </c>
      <c r="J77" s="7">
        <v>75</v>
      </c>
      <c r="K77" s="7">
        <v>75.23</v>
      </c>
      <c r="L77" s="8">
        <v>75</v>
      </c>
      <c r="M77" s="8">
        <v>75.23</v>
      </c>
      <c r="N77">
        <v>24</v>
      </c>
      <c r="O77" t="s">
        <v>123</v>
      </c>
      <c r="P77" t="s">
        <v>119</v>
      </c>
    </row>
    <row r="78" spans="1:16" x14ac:dyDescent="0.25">
      <c r="A78" s="10">
        <v>45713</v>
      </c>
      <c r="B78" s="1" t="s">
        <v>62</v>
      </c>
      <c r="C78" s="2">
        <v>4</v>
      </c>
      <c r="D78" s="1" t="s">
        <v>13</v>
      </c>
      <c r="E78" s="1" t="s">
        <v>13</v>
      </c>
      <c r="F78" s="3">
        <v>0</v>
      </c>
      <c r="G78" s="1" t="s">
        <v>63</v>
      </c>
      <c r="H78" s="1" t="s">
        <v>15</v>
      </c>
      <c r="I78" s="1" t="s">
        <v>38</v>
      </c>
      <c r="J78" s="7">
        <v>95</v>
      </c>
      <c r="K78" s="7">
        <v>104.34</v>
      </c>
      <c r="L78" s="8">
        <v>380</v>
      </c>
      <c r="M78" s="8">
        <v>417.36</v>
      </c>
      <c r="N78">
        <v>25</v>
      </c>
      <c r="O78" t="s">
        <v>123</v>
      </c>
      <c r="P78" t="s">
        <v>119</v>
      </c>
    </row>
    <row r="79" spans="1:16" x14ac:dyDescent="0.25">
      <c r="A79" s="10">
        <v>45713</v>
      </c>
      <c r="B79" s="1" t="s">
        <v>11</v>
      </c>
      <c r="C79" s="2">
        <v>14</v>
      </c>
      <c r="D79" s="1" t="s">
        <v>13</v>
      </c>
      <c r="E79" s="1" t="s">
        <v>13</v>
      </c>
      <c r="F79" s="3">
        <v>0</v>
      </c>
      <c r="G79" s="1" t="s">
        <v>14</v>
      </c>
      <c r="H79" s="1" t="s">
        <v>15</v>
      </c>
      <c r="I79" s="1" t="s">
        <v>16</v>
      </c>
      <c r="J79" s="7">
        <v>7</v>
      </c>
      <c r="K79" s="7">
        <v>8.1300000000000008</v>
      </c>
      <c r="L79" s="8">
        <v>98</v>
      </c>
      <c r="M79" s="8">
        <v>113.82000000000001</v>
      </c>
      <c r="N79">
        <v>25</v>
      </c>
      <c r="O79" t="s">
        <v>123</v>
      </c>
      <c r="P79" t="s">
        <v>119</v>
      </c>
    </row>
    <row r="80" spans="1:16" x14ac:dyDescent="0.25">
      <c r="A80" s="10">
        <v>45715</v>
      </c>
      <c r="B80" s="1" t="s">
        <v>54</v>
      </c>
      <c r="C80" s="2">
        <v>13</v>
      </c>
      <c r="D80" s="1" t="s">
        <v>18</v>
      </c>
      <c r="E80" s="1" t="s">
        <v>23</v>
      </c>
      <c r="F80" s="3">
        <v>0</v>
      </c>
      <c r="G80" s="1" t="s">
        <v>55</v>
      </c>
      <c r="H80" s="1" t="s">
        <v>43</v>
      </c>
      <c r="I80" s="1" t="s">
        <v>26</v>
      </c>
      <c r="J80" s="7">
        <v>71</v>
      </c>
      <c r="K80" s="7">
        <v>77.16</v>
      </c>
      <c r="L80" s="8">
        <v>923</v>
      </c>
      <c r="M80" s="8">
        <v>1003.0799999999999</v>
      </c>
      <c r="N80">
        <v>27</v>
      </c>
      <c r="O80" t="s">
        <v>123</v>
      </c>
      <c r="P80" t="s">
        <v>119</v>
      </c>
    </row>
    <row r="81" spans="1:16" x14ac:dyDescent="0.25">
      <c r="A81" s="10">
        <v>45716</v>
      </c>
      <c r="B81" s="1" t="s">
        <v>27</v>
      </c>
      <c r="C81" s="2">
        <v>5</v>
      </c>
      <c r="D81" s="1" t="s">
        <v>13</v>
      </c>
      <c r="E81" s="1" t="s">
        <v>23</v>
      </c>
      <c r="F81" s="3">
        <v>0</v>
      </c>
      <c r="G81" s="1" t="s">
        <v>28</v>
      </c>
      <c r="H81" s="1" t="s">
        <v>25</v>
      </c>
      <c r="I81" s="1" t="s">
        <v>26</v>
      </c>
      <c r="J81" s="7">
        <v>47</v>
      </c>
      <c r="K81" s="7">
        <v>53.47</v>
      </c>
      <c r="L81" s="8">
        <v>235</v>
      </c>
      <c r="M81" s="8">
        <v>267.35000000000002</v>
      </c>
      <c r="N81">
        <v>28</v>
      </c>
      <c r="O81" t="s">
        <v>123</v>
      </c>
      <c r="P81" t="s">
        <v>119</v>
      </c>
    </row>
    <row r="82" spans="1:16" x14ac:dyDescent="0.25">
      <c r="A82" s="10">
        <v>45716</v>
      </c>
      <c r="B82" s="1" t="s">
        <v>70</v>
      </c>
      <c r="C82" s="2">
        <v>7</v>
      </c>
      <c r="D82" s="1" t="s">
        <v>18</v>
      </c>
      <c r="E82" s="1" t="s">
        <v>23</v>
      </c>
      <c r="F82" s="3">
        <v>0</v>
      </c>
      <c r="G82" s="1" t="s">
        <v>71</v>
      </c>
      <c r="H82" s="1" t="s">
        <v>43</v>
      </c>
      <c r="I82" s="1" t="s">
        <v>21</v>
      </c>
      <c r="J82" s="7">
        <v>52</v>
      </c>
      <c r="K82" s="7">
        <v>60.38</v>
      </c>
      <c r="L82" s="8">
        <v>364</v>
      </c>
      <c r="M82" s="8">
        <v>422.66</v>
      </c>
      <c r="N82">
        <v>28</v>
      </c>
      <c r="O82" t="s">
        <v>123</v>
      </c>
      <c r="P82" t="s">
        <v>119</v>
      </c>
    </row>
    <row r="83" spans="1:16" x14ac:dyDescent="0.25">
      <c r="A83" s="10">
        <v>45716</v>
      </c>
      <c r="B83" s="1" t="s">
        <v>56</v>
      </c>
      <c r="C83" s="2">
        <v>2</v>
      </c>
      <c r="D83" s="1" t="s">
        <v>18</v>
      </c>
      <c r="E83" s="1" t="s">
        <v>23</v>
      </c>
      <c r="F83" s="3">
        <v>0</v>
      </c>
      <c r="G83" s="1" t="s">
        <v>57</v>
      </c>
      <c r="H83" s="1" t="s">
        <v>20</v>
      </c>
      <c r="I83" s="1" t="s">
        <v>26</v>
      </c>
      <c r="J83" s="7">
        <v>79</v>
      </c>
      <c r="K83" s="7">
        <v>90.98</v>
      </c>
      <c r="L83" s="8">
        <v>158</v>
      </c>
      <c r="M83" s="8">
        <v>181.96</v>
      </c>
      <c r="N83">
        <v>28</v>
      </c>
      <c r="O83" t="s">
        <v>123</v>
      </c>
      <c r="P83" t="s">
        <v>119</v>
      </c>
    </row>
    <row r="84" spans="1:16" x14ac:dyDescent="0.25">
      <c r="A84" s="10">
        <v>45716</v>
      </c>
      <c r="B84" s="1" t="s">
        <v>46</v>
      </c>
      <c r="C84" s="2">
        <v>10</v>
      </c>
      <c r="D84" s="1" t="s">
        <v>13</v>
      </c>
      <c r="E84" s="1" t="s">
        <v>13</v>
      </c>
      <c r="F84" s="3">
        <v>0</v>
      </c>
      <c r="G84" s="1" t="s">
        <v>47</v>
      </c>
      <c r="H84" s="1" t="s">
        <v>15</v>
      </c>
      <c r="I84" s="1" t="s">
        <v>16</v>
      </c>
      <c r="J84" s="7">
        <v>8</v>
      </c>
      <c r="K84" s="7">
        <v>9.42</v>
      </c>
      <c r="L84" s="8">
        <v>80</v>
      </c>
      <c r="M84" s="8">
        <v>94.2</v>
      </c>
      <c r="N84">
        <v>28</v>
      </c>
      <c r="O84" t="s">
        <v>123</v>
      </c>
      <c r="P84" t="s">
        <v>119</v>
      </c>
    </row>
    <row r="85" spans="1:16" x14ac:dyDescent="0.25">
      <c r="A85" s="10">
        <v>45717</v>
      </c>
      <c r="B85" s="1" t="s">
        <v>11</v>
      </c>
      <c r="C85" s="2">
        <v>15</v>
      </c>
      <c r="D85" s="1" t="s">
        <v>18</v>
      </c>
      <c r="E85" s="1" t="s">
        <v>13</v>
      </c>
      <c r="F85" s="3">
        <v>0.05</v>
      </c>
      <c r="G85" s="1" t="s">
        <v>14</v>
      </c>
      <c r="H85" s="1" t="s">
        <v>15</v>
      </c>
      <c r="I85" s="1" t="s">
        <v>16</v>
      </c>
      <c r="J85" s="7">
        <v>7</v>
      </c>
      <c r="K85" s="7">
        <v>7.18</v>
      </c>
      <c r="L85" s="8">
        <v>105</v>
      </c>
      <c r="M85" s="8">
        <v>107.69999999999999</v>
      </c>
      <c r="N85">
        <v>1</v>
      </c>
      <c r="O85" t="s">
        <v>124</v>
      </c>
      <c r="P85" t="s">
        <v>119</v>
      </c>
    </row>
    <row r="86" spans="1:16" x14ac:dyDescent="0.25">
      <c r="A86" s="10">
        <v>45717</v>
      </c>
      <c r="B86" s="1" t="s">
        <v>52</v>
      </c>
      <c r="C86" s="2">
        <v>6</v>
      </c>
      <c r="D86" s="1" t="s">
        <v>18</v>
      </c>
      <c r="E86" s="1" t="s">
        <v>13</v>
      </c>
      <c r="F86" s="3">
        <v>0</v>
      </c>
      <c r="G86" s="1" t="s">
        <v>53</v>
      </c>
      <c r="H86" s="1" t="s">
        <v>25</v>
      </c>
      <c r="I86" s="1" t="s">
        <v>21</v>
      </c>
      <c r="J86" s="7">
        <v>58</v>
      </c>
      <c r="K86" s="7">
        <v>63.44</v>
      </c>
      <c r="L86" s="8">
        <v>348</v>
      </c>
      <c r="M86" s="8">
        <v>380.64</v>
      </c>
      <c r="N86">
        <v>1</v>
      </c>
      <c r="O86" t="s">
        <v>124</v>
      </c>
      <c r="P86" t="s">
        <v>119</v>
      </c>
    </row>
    <row r="87" spans="1:16" x14ac:dyDescent="0.25">
      <c r="A87" s="10">
        <v>45721</v>
      </c>
      <c r="B87" s="1" t="s">
        <v>102</v>
      </c>
      <c r="C87" s="2">
        <v>7</v>
      </c>
      <c r="D87" s="1" t="s">
        <v>12</v>
      </c>
      <c r="E87" s="1" t="s">
        <v>13</v>
      </c>
      <c r="F87" s="3">
        <v>0</v>
      </c>
      <c r="G87" s="1" t="s">
        <v>103</v>
      </c>
      <c r="H87" s="1" t="s">
        <v>15</v>
      </c>
      <c r="I87" s="1" t="s">
        <v>38</v>
      </c>
      <c r="J87" s="7">
        <v>144</v>
      </c>
      <c r="K87" s="7">
        <v>169.54</v>
      </c>
      <c r="L87" s="8">
        <v>1008</v>
      </c>
      <c r="M87" s="8">
        <v>1186.78</v>
      </c>
      <c r="N87">
        <v>5</v>
      </c>
      <c r="O87" t="s">
        <v>124</v>
      </c>
      <c r="P87" t="s">
        <v>119</v>
      </c>
    </row>
    <row r="88" spans="1:16" x14ac:dyDescent="0.25">
      <c r="A88" s="10">
        <v>45722</v>
      </c>
      <c r="B88" s="1" t="s">
        <v>39</v>
      </c>
      <c r="C88" s="2">
        <v>14</v>
      </c>
      <c r="D88" s="1" t="s">
        <v>18</v>
      </c>
      <c r="E88" s="1" t="s">
        <v>23</v>
      </c>
      <c r="F88" s="3">
        <v>0</v>
      </c>
      <c r="G88" s="1" t="s">
        <v>40</v>
      </c>
      <c r="H88" s="1" t="s">
        <v>33</v>
      </c>
      <c r="I88" s="1" t="s">
        <v>38</v>
      </c>
      <c r="J88" s="7">
        <v>98</v>
      </c>
      <c r="K88" s="7">
        <v>111.47</v>
      </c>
      <c r="L88" s="8">
        <v>1372</v>
      </c>
      <c r="M88" s="8">
        <v>1560.58</v>
      </c>
      <c r="N88">
        <v>6</v>
      </c>
      <c r="O88" t="s">
        <v>124</v>
      </c>
      <c r="P88" t="s">
        <v>119</v>
      </c>
    </row>
    <row r="89" spans="1:16" x14ac:dyDescent="0.25">
      <c r="A89" s="10">
        <v>45722</v>
      </c>
      <c r="B89" s="1" t="s">
        <v>72</v>
      </c>
      <c r="C89" s="2">
        <v>4</v>
      </c>
      <c r="D89" s="1" t="s">
        <v>13</v>
      </c>
      <c r="E89" s="1" t="s">
        <v>23</v>
      </c>
      <c r="F89" s="3">
        <v>0</v>
      </c>
      <c r="G89" s="1" t="s">
        <v>73</v>
      </c>
      <c r="H89" s="1" t="s">
        <v>33</v>
      </c>
      <c r="I89" s="1" t="s">
        <v>26</v>
      </c>
      <c r="J89" s="7">
        <v>67</v>
      </c>
      <c r="K89" s="7">
        <v>77.81</v>
      </c>
      <c r="L89" s="8">
        <v>268</v>
      </c>
      <c r="M89" s="8">
        <v>311.24</v>
      </c>
      <c r="N89">
        <v>6</v>
      </c>
      <c r="O89" t="s">
        <v>124</v>
      </c>
      <c r="P89" t="s">
        <v>119</v>
      </c>
    </row>
    <row r="90" spans="1:16" x14ac:dyDescent="0.25">
      <c r="A90" s="10">
        <v>45723</v>
      </c>
      <c r="B90" s="1" t="s">
        <v>54</v>
      </c>
      <c r="C90" s="2">
        <v>5</v>
      </c>
      <c r="D90" s="1" t="s">
        <v>13</v>
      </c>
      <c r="E90" s="1" t="s">
        <v>23</v>
      </c>
      <c r="F90" s="3">
        <v>0</v>
      </c>
      <c r="G90" s="1" t="s">
        <v>55</v>
      </c>
      <c r="H90" s="1" t="s">
        <v>43</v>
      </c>
      <c r="I90" s="1" t="s">
        <v>26</v>
      </c>
      <c r="J90" s="7">
        <v>71</v>
      </c>
      <c r="K90" s="7">
        <v>78.17</v>
      </c>
      <c r="L90" s="8">
        <v>355</v>
      </c>
      <c r="M90" s="8">
        <v>390.85</v>
      </c>
      <c r="N90">
        <v>7</v>
      </c>
      <c r="O90" t="s">
        <v>124</v>
      </c>
      <c r="P90" t="s">
        <v>119</v>
      </c>
    </row>
    <row r="91" spans="1:16" x14ac:dyDescent="0.25">
      <c r="A91" s="10">
        <v>45723</v>
      </c>
      <c r="B91" s="1" t="s">
        <v>104</v>
      </c>
      <c r="C91" s="2">
        <v>9</v>
      </c>
      <c r="D91" s="1" t="s">
        <v>13</v>
      </c>
      <c r="E91" s="1" t="s">
        <v>13</v>
      </c>
      <c r="F91" s="3">
        <v>0</v>
      </c>
      <c r="G91" s="1" t="s">
        <v>105</v>
      </c>
      <c r="H91" s="1" t="s">
        <v>33</v>
      </c>
      <c r="I91" s="1" t="s">
        <v>26</v>
      </c>
      <c r="J91" s="7">
        <v>90</v>
      </c>
      <c r="K91" s="7">
        <v>103.17</v>
      </c>
      <c r="L91" s="8">
        <v>810</v>
      </c>
      <c r="M91" s="8">
        <v>928.53</v>
      </c>
      <c r="N91">
        <v>7</v>
      </c>
      <c r="O91" t="s">
        <v>124</v>
      </c>
      <c r="P91" t="s">
        <v>119</v>
      </c>
    </row>
    <row r="92" spans="1:16" x14ac:dyDescent="0.25">
      <c r="A92" s="10">
        <v>45723</v>
      </c>
      <c r="B92" s="1" t="s">
        <v>41</v>
      </c>
      <c r="C92" s="2">
        <v>15</v>
      </c>
      <c r="D92" s="1" t="s">
        <v>12</v>
      </c>
      <c r="E92" s="1" t="s">
        <v>13</v>
      </c>
      <c r="F92" s="3">
        <v>0.1</v>
      </c>
      <c r="G92" s="1" t="s">
        <v>42</v>
      </c>
      <c r="H92" s="1" t="s">
        <v>43</v>
      </c>
      <c r="I92" s="1" t="s">
        <v>26</v>
      </c>
      <c r="J92" s="7">
        <v>75</v>
      </c>
      <c r="K92" s="7">
        <v>73.239999999999995</v>
      </c>
      <c r="L92" s="8">
        <v>1125</v>
      </c>
      <c r="M92" s="8">
        <v>1098.5999999999999</v>
      </c>
      <c r="N92">
        <v>7</v>
      </c>
      <c r="O92" t="s">
        <v>124</v>
      </c>
      <c r="P92" t="s">
        <v>119</v>
      </c>
    </row>
    <row r="93" spans="1:16" x14ac:dyDescent="0.25">
      <c r="A93" s="10">
        <v>45724</v>
      </c>
      <c r="B93" s="1" t="s">
        <v>34</v>
      </c>
      <c r="C93" s="2">
        <v>5</v>
      </c>
      <c r="D93" s="1" t="s">
        <v>18</v>
      </c>
      <c r="E93" s="1" t="s">
        <v>23</v>
      </c>
      <c r="F93" s="3">
        <v>0</v>
      </c>
      <c r="G93" s="1" t="s">
        <v>35</v>
      </c>
      <c r="H93" s="1" t="s">
        <v>20</v>
      </c>
      <c r="I93" s="1" t="s">
        <v>16</v>
      </c>
      <c r="J93" s="7">
        <v>5</v>
      </c>
      <c r="K93" s="7">
        <v>5.41</v>
      </c>
      <c r="L93" s="8">
        <v>25</v>
      </c>
      <c r="M93" s="8">
        <v>27.05</v>
      </c>
      <c r="N93">
        <v>8</v>
      </c>
      <c r="O93" t="s">
        <v>124</v>
      </c>
      <c r="P93" t="s">
        <v>119</v>
      </c>
    </row>
    <row r="94" spans="1:16" x14ac:dyDescent="0.25">
      <c r="A94" s="10">
        <v>45724</v>
      </c>
      <c r="B94" s="1" t="s">
        <v>104</v>
      </c>
      <c r="C94" s="2">
        <v>15</v>
      </c>
      <c r="D94" s="1" t="s">
        <v>13</v>
      </c>
      <c r="E94" s="1" t="s">
        <v>13</v>
      </c>
      <c r="F94" s="3">
        <v>0</v>
      </c>
      <c r="G94" s="1" t="s">
        <v>105</v>
      </c>
      <c r="H94" s="1" t="s">
        <v>33</v>
      </c>
      <c r="I94" s="1" t="s">
        <v>26</v>
      </c>
      <c r="J94" s="7">
        <v>90</v>
      </c>
      <c r="K94" s="7">
        <v>103.65</v>
      </c>
      <c r="L94" s="8">
        <v>1350</v>
      </c>
      <c r="M94" s="8">
        <v>1554.75</v>
      </c>
      <c r="N94">
        <v>8</v>
      </c>
      <c r="O94" t="s">
        <v>124</v>
      </c>
      <c r="P94" t="s">
        <v>119</v>
      </c>
    </row>
    <row r="95" spans="1:16" x14ac:dyDescent="0.25">
      <c r="A95" s="10">
        <v>45724</v>
      </c>
      <c r="B95" s="1" t="s">
        <v>62</v>
      </c>
      <c r="C95" s="2">
        <v>5</v>
      </c>
      <c r="D95" s="1" t="s">
        <v>13</v>
      </c>
      <c r="E95" s="1" t="s">
        <v>13</v>
      </c>
      <c r="F95" s="3">
        <v>0</v>
      </c>
      <c r="G95" s="1" t="s">
        <v>63</v>
      </c>
      <c r="H95" s="1" t="s">
        <v>15</v>
      </c>
      <c r="I95" s="1" t="s">
        <v>38</v>
      </c>
      <c r="J95" s="7">
        <v>95</v>
      </c>
      <c r="K95" s="7">
        <v>106.33</v>
      </c>
      <c r="L95" s="8">
        <v>475</v>
      </c>
      <c r="M95" s="8">
        <v>531.65</v>
      </c>
      <c r="N95">
        <v>8</v>
      </c>
      <c r="O95" t="s">
        <v>124</v>
      </c>
      <c r="P95" t="s">
        <v>119</v>
      </c>
    </row>
    <row r="96" spans="1:16" x14ac:dyDescent="0.25">
      <c r="A96" s="10">
        <v>45725</v>
      </c>
      <c r="B96" s="1" t="s">
        <v>72</v>
      </c>
      <c r="C96" s="2">
        <v>10</v>
      </c>
      <c r="D96" s="1" t="s">
        <v>18</v>
      </c>
      <c r="E96" s="1" t="s">
        <v>13</v>
      </c>
      <c r="F96" s="3">
        <v>0</v>
      </c>
      <c r="G96" s="1" t="s">
        <v>73</v>
      </c>
      <c r="H96" s="1" t="s">
        <v>33</v>
      </c>
      <c r="I96" s="1" t="s">
        <v>26</v>
      </c>
      <c r="J96" s="7">
        <v>67</v>
      </c>
      <c r="K96" s="7">
        <v>73.64</v>
      </c>
      <c r="L96" s="8">
        <v>670</v>
      </c>
      <c r="M96" s="8">
        <v>736.4</v>
      </c>
      <c r="N96">
        <v>9</v>
      </c>
      <c r="O96" t="s">
        <v>124</v>
      </c>
      <c r="P96" t="s">
        <v>119</v>
      </c>
    </row>
    <row r="97" spans="1:16" x14ac:dyDescent="0.25">
      <c r="A97" s="10">
        <v>45726</v>
      </c>
      <c r="B97" s="1" t="s">
        <v>29</v>
      </c>
      <c r="C97" s="2">
        <v>2</v>
      </c>
      <c r="D97" s="1" t="s">
        <v>12</v>
      </c>
      <c r="E97" s="1" t="s">
        <v>23</v>
      </c>
      <c r="F97" s="3">
        <v>0.05</v>
      </c>
      <c r="G97" s="1" t="s">
        <v>30</v>
      </c>
      <c r="H97" s="1" t="s">
        <v>15</v>
      </c>
      <c r="I97" s="1" t="s">
        <v>16</v>
      </c>
      <c r="J97" s="7">
        <v>12</v>
      </c>
      <c r="K97" s="7">
        <v>13.13</v>
      </c>
      <c r="L97" s="8">
        <v>24</v>
      </c>
      <c r="M97" s="8">
        <v>26.26</v>
      </c>
      <c r="N97">
        <v>10</v>
      </c>
      <c r="O97" t="s">
        <v>124</v>
      </c>
      <c r="P97" t="s">
        <v>119</v>
      </c>
    </row>
    <row r="98" spans="1:16" x14ac:dyDescent="0.25">
      <c r="A98" s="10">
        <v>45726</v>
      </c>
      <c r="B98" s="1" t="s">
        <v>56</v>
      </c>
      <c r="C98" s="2">
        <v>11</v>
      </c>
      <c r="D98" s="1" t="s">
        <v>18</v>
      </c>
      <c r="E98" s="1" t="s">
        <v>13</v>
      </c>
      <c r="F98" s="3">
        <v>0</v>
      </c>
      <c r="G98" s="1" t="s">
        <v>57</v>
      </c>
      <c r="H98" s="1" t="s">
        <v>20</v>
      </c>
      <c r="I98" s="1" t="s">
        <v>26</v>
      </c>
      <c r="J98" s="7">
        <v>79</v>
      </c>
      <c r="K98" s="7">
        <v>92.36</v>
      </c>
      <c r="L98" s="8">
        <v>869</v>
      </c>
      <c r="M98" s="8">
        <v>1015.96</v>
      </c>
      <c r="N98">
        <v>10</v>
      </c>
      <c r="O98" t="s">
        <v>124</v>
      </c>
      <c r="P98" t="s">
        <v>119</v>
      </c>
    </row>
    <row r="99" spans="1:16" x14ac:dyDescent="0.25">
      <c r="A99" s="10">
        <v>45726</v>
      </c>
      <c r="B99" s="1" t="s">
        <v>84</v>
      </c>
      <c r="C99" s="2">
        <v>11</v>
      </c>
      <c r="D99" s="1" t="s">
        <v>13</v>
      </c>
      <c r="E99" s="1" t="s">
        <v>23</v>
      </c>
      <c r="F99" s="3">
        <v>0</v>
      </c>
      <c r="G99" s="1" t="s">
        <v>85</v>
      </c>
      <c r="H99" s="1" t="s">
        <v>33</v>
      </c>
      <c r="I99" s="1" t="s">
        <v>38</v>
      </c>
      <c r="J99" s="7">
        <v>120</v>
      </c>
      <c r="K99" s="7">
        <v>131.57</v>
      </c>
      <c r="L99" s="8">
        <v>1320</v>
      </c>
      <c r="M99" s="8">
        <v>1447.27</v>
      </c>
      <c r="N99">
        <v>10</v>
      </c>
      <c r="O99" t="s">
        <v>124</v>
      </c>
      <c r="P99" t="s">
        <v>119</v>
      </c>
    </row>
    <row r="100" spans="1:16" x14ac:dyDescent="0.25">
      <c r="A100" s="10">
        <v>45727</v>
      </c>
      <c r="B100" s="1" t="s">
        <v>70</v>
      </c>
      <c r="C100" s="2">
        <v>12</v>
      </c>
      <c r="D100" s="1" t="s">
        <v>18</v>
      </c>
      <c r="E100" s="1" t="s">
        <v>13</v>
      </c>
      <c r="F100" s="3">
        <v>0.02</v>
      </c>
      <c r="G100" s="1" t="s">
        <v>71</v>
      </c>
      <c r="H100" s="1" t="s">
        <v>43</v>
      </c>
      <c r="I100" s="1" t="s">
        <v>21</v>
      </c>
      <c r="J100" s="7">
        <v>52</v>
      </c>
      <c r="K100" s="7">
        <v>55.26</v>
      </c>
      <c r="L100" s="8">
        <v>624</v>
      </c>
      <c r="M100" s="8">
        <v>663.12</v>
      </c>
      <c r="N100">
        <v>11</v>
      </c>
      <c r="O100" t="s">
        <v>124</v>
      </c>
      <c r="P100" t="s">
        <v>119</v>
      </c>
    </row>
    <row r="101" spans="1:16" x14ac:dyDescent="0.25">
      <c r="A101" s="10">
        <v>45729</v>
      </c>
      <c r="B101" s="1" t="s">
        <v>34</v>
      </c>
      <c r="C101" s="2">
        <v>8</v>
      </c>
      <c r="D101" s="1" t="s">
        <v>13</v>
      </c>
      <c r="E101" s="1" t="s">
        <v>23</v>
      </c>
      <c r="F101" s="3">
        <v>0</v>
      </c>
      <c r="G101" s="1" t="s">
        <v>35</v>
      </c>
      <c r="H101" s="1" t="s">
        <v>20</v>
      </c>
      <c r="I101" s="1" t="s">
        <v>16</v>
      </c>
      <c r="J101" s="7">
        <v>5</v>
      </c>
      <c r="K101" s="7">
        <v>5.82</v>
      </c>
      <c r="L101" s="8">
        <v>40</v>
      </c>
      <c r="M101" s="8">
        <v>46.56</v>
      </c>
      <c r="N101">
        <v>13</v>
      </c>
      <c r="O101" t="s">
        <v>124</v>
      </c>
      <c r="P101" t="s">
        <v>119</v>
      </c>
    </row>
    <row r="102" spans="1:16" x14ac:dyDescent="0.25">
      <c r="A102" s="10">
        <v>45729</v>
      </c>
      <c r="B102" s="1" t="s">
        <v>52</v>
      </c>
      <c r="C102" s="2">
        <v>6</v>
      </c>
      <c r="D102" s="1" t="s">
        <v>12</v>
      </c>
      <c r="E102" s="1" t="s">
        <v>23</v>
      </c>
      <c r="F102" s="3">
        <v>0</v>
      </c>
      <c r="G102" s="1" t="s">
        <v>53</v>
      </c>
      <c r="H102" s="1" t="s">
        <v>25</v>
      </c>
      <c r="I102" s="1" t="s">
        <v>21</v>
      </c>
      <c r="J102" s="7">
        <v>58</v>
      </c>
      <c r="K102" s="7">
        <v>65.45</v>
      </c>
      <c r="L102" s="8">
        <v>348</v>
      </c>
      <c r="M102" s="8">
        <v>392.70000000000005</v>
      </c>
      <c r="N102">
        <v>13</v>
      </c>
      <c r="O102" t="s">
        <v>124</v>
      </c>
      <c r="P102" t="s">
        <v>119</v>
      </c>
    </row>
    <row r="103" spans="1:16" x14ac:dyDescent="0.25">
      <c r="A103" s="10">
        <v>45730</v>
      </c>
      <c r="B103" s="1" t="s">
        <v>64</v>
      </c>
      <c r="C103" s="2">
        <v>14</v>
      </c>
      <c r="D103" s="1" t="s">
        <v>18</v>
      </c>
      <c r="E103" s="1" t="s">
        <v>13</v>
      </c>
      <c r="F103" s="3">
        <v>0</v>
      </c>
      <c r="G103" s="1" t="s">
        <v>65</v>
      </c>
      <c r="H103" s="1" t="s">
        <v>25</v>
      </c>
      <c r="I103" s="1" t="s">
        <v>26</v>
      </c>
      <c r="J103" s="7">
        <v>60</v>
      </c>
      <c r="K103" s="7">
        <v>67.040000000000006</v>
      </c>
      <c r="L103" s="8">
        <v>840</v>
      </c>
      <c r="M103" s="8">
        <v>938.56000000000006</v>
      </c>
      <c r="N103">
        <v>14</v>
      </c>
      <c r="O103" t="s">
        <v>124</v>
      </c>
      <c r="P103" t="s">
        <v>119</v>
      </c>
    </row>
    <row r="104" spans="1:16" x14ac:dyDescent="0.25">
      <c r="A104" s="10">
        <v>45732</v>
      </c>
      <c r="B104" s="1" t="s">
        <v>106</v>
      </c>
      <c r="C104" s="2">
        <v>1</v>
      </c>
      <c r="D104" s="1" t="s">
        <v>13</v>
      </c>
      <c r="E104" s="1" t="s">
        <v>13</v>
      </c>
      <c r="F104" s="3">
        <v>0</v>
      </c>
      <c r="G104" s="1" t="s">
        <v>107</v>
      </c>
      <c r="H104" s="1" t="s">
        <v>25</v>
      </c>
      <c r="I104" s="1" t="s">
        <v>21</v>
      </c>
      <c r="J104" s="7">
        <v>39</v>
      </c>
      <c r="K104" s="7">
        <v>42.66</v>
      </c>
      <c r="L104" s="8">
        <v>39</v>
      </c>
      <c r="M104" s="8">
        <v>42.66</v>
      </c>
      <c r="N104">
        <v>16</v>
      </c>
      <c r="O104" t="s">
        <v>124</v>
      </c>
      <c r="P104" t="s">
        <v>119</v>
      </c>
    </row>
    <row r="105" spans="1:16" x14ac:dyDescent="0.25">
      <c r="A105" s="10">
        <v>45733</v>
      </c>
      <c r="B105" s="1" t="s">
        <v>84</v>
      </c>
      <c r="C105" s="2">
        <v>12</v>
      </c>
      <c r="D105" s="1" t="s">
        <v>13</v>
      </c>
      <c r="E105" s="1" t="s">
        <v>23</v>
      </c>
      <c r="F105" s="3">
        <v>0</v>
      </c>
      <c r="G105" s="1" t="s">
        <v>85</v>
      </c>
      <c r="H105" s="1" t="s">
        <v>33</v>
      </c>
      <c r="I105" s="1" t="s">
        <v>38</v>
      </c>
      <c r="J105" s="7">
        <v>120</v>
      </c>
      <c r="K105" s="7">
        <v>132.22999999999999</v>
      </c>
      <c r="L105" s="8">
        <v>1440</v>
      </c>
      <c r="M105" s="8">
        <v>1586.7599999999998</v>
      </c>
      <c r="N105">
        <v>17</v>
      </c>
      <c r="O105" t="s">
        <v>124</v>
      </c>
      <c r="P105" t="s">
        <v>119</v>
      </c>
    </row>
    <row r="106" spans="1:16" x14ac:dyDescent="0.25">
      <c r="A106" s="10">
        <v>45733</v>
      </c>
      <c r="B106" s="1" t="s">
        <v>70</v>
      </c>
      <c r="C106" s="2">
        <v>3</v>
      </c>
      <c r="D106" s="1" t="s">
        <v>13</v>
      </c>
      <c r="E106" s="1" t="s">
        <v>13</v>
      </c>
      <c r="F106" s="3">
        <v>0</v>
      </c>
      <c r="G106" s="1" t="s">
        <v>71</v>
      </c>
      <c r="H106" s="1" t="s">
        <v>43</v>
      </c>
      <c r="I106" s="1" t="s">
        <v>21</v>
      </c>
      <c r="J106" s="7">
        <v>52</v>
      </c>
      <c r="K106" s="7">
        <v>59.27</v>
      </c>
      <c r="L106" s="8">
        <v>156</v>
      </c>
      <c r="M106" s="8">
        <v>177.81</v>
      </c>
      <c r="N106">
        <v>17</v>
      </c>
      <c r="O106" t="s">
        <v>124</v>
      </c>
      <c r="P106" t="s">
        <v>119</v>
      </c>
    </row>
    <row r="107" spans="1:16" x14ac:dyDescent="0.25">
      <c r="A107" s="10">
        <v>45733</v>
      </c>
      <c r="B107" s="1" t="s">
        <v>41</v>
      </c>
      <c r="C107" s="2">
        <v>12</v>
      </c>
      <c r="D107" s="1" t="s">
        <v>13</v>
      </c>
      <c r="E107" s="1" t="s">
        <v>13</v>
      </c>
      <c r="F107" s="3">
        <v>0</v>
      </c>
      <c r="G107" s="1" t="s">
        <v>42</v>
      </c>
      <c r="H107" s="1" t="s">
        <v>43</v>
      </c>
      <c r="I107" s="1" t="s">
        <v>26</v>
      </c>
      <c r="J107" s="7">
        <v>75</v>
      </c>
      <c r="K107" s="7">
        <v>81.37</v>
      </c>
      <c r="L107" s="8">
        <v>900</v>
      </c>
      <c r="M107" s="8">
        <v>976.44</v>
      </c>
      <c r="N107">
        <v>17</v>
      </c>
      <c r="O107" t="s">
        <v>124</v>
      </c>
      <c r="P107" t="s">
        <v>119</v>
      </c>
    </row>
    <row r="108" spans="1:16" x14ac:dyDescent="0.25">
      <c r="A108" s="10">
        <v>45734</v>
      </c>
      <c r="B108" s="1" t="s">
        <v>78</v>
      </c>
      <c r="C108" s="2">
        <v>15</v>
      </c>
      <c r="D108" s="1" t="s">
        <v>18</v>
      </c>
      <c r="E108" s="1" t="s">
        <v>13</v>
      </c>
      <c r="F108" s="3">
        <v>0</v>
      </c>
      <c r="G108" s="1" t="s">
        <v>79</v>
      </c>
      <c r="H108" s="1" t="s">
        <v>33</v>
      </c>
      <c r="I108" s="1" t="s">
        <v>21</v>
      </c>
      <c r="J108" s="7">
        <v>41</v>
      </c>
      <c r="K108" s="7">
        <v>45.59</v>
      </c>
      <c r="L108" s="8">
        <v>615</v>
      </c>
      <c r="M108" s="8">
        <v>683.85</v>
      </c>
      <c r="N108">
        <v>18</v>
      </c>
      <c r="O108" t="s">
        <v>124</v>
      </c>
      <c r="P108" t="s">
        <v>119</v>
      </c>
    </row>
    <row r="109" spans="1:16" x14ac:dyDescent="0.25">
      <c r="A109" s="10">
        <v>45735</v>
      </c>
      <c r="B109" s="1" t="s">
        <v>68</v>
      </c>
      <c r="C109" s="2">
        <v>7</v>
      </c>
      <c r="D109" s="1" t="s">
        <v>18</v>
      </c>
      <c r="E109" s="1" t="s">
        <v>23</v>
      </c>
      <c r="F109" s="3">
        <v>0.05</v>
      </c>
      <c r="G109" s="1" t="s">
        <v>69</v>
      </c>
      <c r="H109" s="1" t="s">
        <v>15</v>
      </c>
      <c r="I109" s="1" t="s">
        <v>38</v>
      </c>
      <c r="J109" s="7">
        <v>130</v>
      </c>
      <c r="K109" s="7">
        <v>137.46</v>
      </c>
      <c r="L109" s="8">
        <v>910</v>
      </c>
      <c r="M109" s="8">
        <v>962.22</v>
      </c>
      <c r="N109">
        <v>19</v>
      </c>
      <c r="O109" t="s">
        <v>124</v>
      </c>
      <c r="P109" t="s">
        <v>119</v>
      </c>
    </row>
    <row r="110" spans="1:16" x14ac:dyDescent="0.25">
      <c r="A110" s="10">
        <v>45735</v>
      </c>
      <c r="B110" s="1" t="s">
        <v>74</v>
      </c>
      <c r="C110" s="2">
        <v>2</v>
      </c>
      <c r="D110" s="1" t="s">
        <v>18</v>
      </c>
      <c r="E110" s="1" t="s">
        <v>13</v>
      </c>
      <c r="F110" s="3">
        <v>0</v>
      </c>
      <c r="G110" s="1" t="s">
        <v>75</v>
      </c>
      <c r="H110" s="1" t="s">
        <v>20</v>
      </c>
      <c r="I110" s="1" t="s">
        <v>21</v>
      </c>
      <c r="J110" s="7">
        <v>47</v>
      </c>
      <c r="K110" s="7">
        <v>53.54</v>
      </c>
      <c r="L110" s="8">
        <v>94</v>
      </c>
      <c r="M110" s="8">
        <v>107.08</v>
      </c>
      <c r="N110">
        <v>19</v>
      </c>
      <c r="O110" t="s">
        <v>124</v>
      </c>
      <c r="P110" t="s">
        <v>119</v>
      </c>
    </row>
    <row r="111" spans="1:16" x14ac:dyDescent="0.25">
      <c r="A111" s="10">
        <v>45736</v>
      </c>
      <c r="B111" s="1" t="s">
        <v>46</v>
      </c>
      <c r="C111" s="2">
        <v>2</v>
      </c>
      <c r="D111" s="1" t="s">
        <v>13</v>
      </c>
      <c r="E111" s="1" t="s">
        <v>23</v>
      </c>
      <c r="F111" s="3">
        <v>0</v>
      </c>
      <c r="G111" s="1" t="s">
        <v>47</v>
      </c>
      <c r="H111" s="1" t="s">
        <v>15</v>
      </c>
      <c r="I111" s="1" t="s">
        <v>16</v>
      </c>
      <c r="J111" s="7">
        <v>8</v>
      </c>
      <c r="K111" s="7">
        <v>8.76</v>
      </c>
      <c r="L111" s="8">
        <v>16</v>
      </c>
      <c r="M111" s="8">
        <v>17.52</v>
      </c>
      <c r="N111">
        <v>20</v>
      </c>
      <c r="O111" t="s">
        <v>124</v>
      </c>
      <c r="P111" t="s">
        <v>119</v>
      </c>
    </row>
    <row r="112" spans="1:16" x14ac:dyDescent="0.25">
      <c r="A112" s="10">
        <v>45737</v>
      </c>
      <c r="B112" s="1" t="s">
        <v>70</v>
      </c>
      <c r="C112" s="2">
        <v>8</v>
      </c>
      <c r="D112" s="1" t="s">
        <v>18</v>
      </c>
      <c r="E112" s="1" t="s">
        <v>13</v>
      </c>
      <c r="F112" s="3">
        <v>0</v>
      </c>
      <c r="G112" s="1" t="s">
        <v>71</v>
      </c>
      <c r="H112" s="1" t="s">
        <v>43</v>
      </c>
      <c r="I112" s="1" t="s">
        <v>21</v>
      </c>
      <c r="J112" s="7">
        <v>52</v>
      </c>
      <c r="K112" s="7">
        <v>59.76</v>
      </c>
      <c r="L112" s="8">
        <v>416</v>
      </c>
      <c r="M112" s="8">
        <v>478.08</v>
      </c>
      <c r="N112">
        <v>21</v>
      </c>
      <c r="O112" t="s">
        <v>124</v>
      </c>
      <c r="P112" t="s">
        <v>119</v>
      </c>
    </row>
    <row r="113" spans="1:16" x14ac:dyDescent="0.25">
      <c r="A113" s="10">
        <v>45737</v>
      </c>
      <c r="B113" s="1" t="s">
        <v>82</v>
      </c>
      <c r="C113" s="2">
        <v>8</v>
      </c>
      <c r="D113" s="1" t="s">
        <v>13</v>
      </c>
      <c r="E113" s="1" t="s">
        <v>23</v>
      </c>
      <c r="F113" s="3">
        <v>0</v>
      </c>
      <c r="G113" s="1" t="s">
        <v>83</v>
      </c>
      <c r="H113" s="1" t="s">
        <v>33</v>
      </c>
      <c r="I113" s="1" t="s">
        <v>16</v>
      </c>
      <c r="J113" s="7">
        <v>11</v>
      </c>
      <c r="K113" s="7">
        <v>12.49</v>
      </c>
      <c r="L113" s="8">
        <v>88</v>
      </c>
      <c r="M113" s="8">
        <v>99.92</v>
      </c>
      <c r="N113">
        <v>21</v>
      </c>
      <c r="O113" t="s">
        <v>124</v>
      </c>
      <c r="P113" t="s">
        <v>119</v>
      </c>
    </row>
    <row r="114" spans="1:16" x14ac:dyDescent="0.25">
      <c r="A114" s="10">
        <v>45737</v>
      </c>
      <c r="B114" s="1" t="s">
        <v>70</v>
      </c>
      <c r="C114" s="2">
        <v>5</v>
      </c>
      <c r="D114" s="1" t="s">
        <v>12</v>
      </c>
      <c r="E114" s="1" t="s">
        <v>23</v>
      </c>
      <c r="F114" s="3">
        <v>0</v>
      </c>
      <c r="G114" s="1" t="s">
        <v>71</v>
      </c>
      <c r="H114" s="1" t="s">
        <v>43</v>
      </c>
      <c r="I114" s="1" t="s">
        <v>21</v>
      </c>
      <c r="J114" s="7">
        <v>52</v>
      </c>
      <c r="K114" s="7">
        <v>60</v>
      </c>
      <c r="L114" s="8">
        <v>260</v>
      </c>
      <c r="M114" s="8">
        <v>300</v>
      </c>
      <c r="N114">
        <v>21</v>
      </c>
      <c r="O114" t="s">
        <v>124</v>
      </c>
      <c r="P114" t="s">
        <v>119</v>
      </c>
    </row>
    <row r="115" spans="1:16" x14ac:dyDescent="0.25">
      <c r="A115" s="10">
        <v>45738</v>
      </c>
      <c r="B115" s="1" t="s">
        <v>70</v>
      </c>
      <c r="C115" s="2">
        <v>8</v>
      </c>
      <c r="D115" s="1" t="s">
        <v>12</v>
      </c>
      <c r="E115" s="1" t="s">
        <v>13</v>
      </c>
      <c r="F115" s="3">
        <v>0</v>
      </c>
      <c r="G115" s="1" t="s">
        <v>71</v>
      </c>
      <c r="H115" s="1" t="s">
        <v>43</v>
      </c>
      <c r="I115" s="1" t="s">
        <v>21</v>
      </c>
      <c r="J115" s="7">
        <v>52</v>
      </c>
      <c r="K115" s="7">
        <v>57.46</v>
      </c>
      <c r="L115" s="8">
        <v>416</v>
      </c>
      <c r="M115" s="8">
        <v>459.68</v>
      </c>
      <c r="N115">
        <v>22</v>
      </c>
      <c r="O115" t="s">
        <v>124</v>
      </c>
      <c r="P115" t="s">
        <v>119</v>
      </c>
    </row>
    <row r="116" spans="1:16" x14ac:dyDescent="0.25">
      <c r="A116" s="10">
        <v>45738</v>
      </c>
      <c r="B116" s="1" t="s">
        <v>17</v>
      </c>
      <c r="C116" s="2">
        <v>11</v>
      </c>
      <c r="D116" s="1" t="s">
        <v>12</v>
      </c>
      <c r="E116" s="1" t="s">
        <v>13</v>
      </c>
      <c r="F116" s="3">
        <v>0</v>
      </c>
      <c r="G116" s="1" t="s">
        <v>19</v>
      </c>
      <c r="H116" s="1" t="s">
        <v>20</v>
      </c>
      <c r="I116" s="1" t="s">
        <v>21</v>
      </c>
      <c r="J116" s="7">
        <v>48</v>
      </c>
      <c r="K116" s="7">
        <v>56.47</v>
      </c>
      <c r="L116" s="8">
        <v>528</v>
      </c>
      <c r="M116" s="8">
        <v>621.16999999999996</v>
      </c>
      <c r="N116">
        <v>22</v>
      </c>
      <c r="O116" t="s">
        <v>124</v>
      </c>
      <c r="P116" t="s">
        <v>119</v>
      </c>
    </row>
    <row r="117" spans="1:16" x14ac:dyDescent="0.25">
      <c r="A117" s="10">
        <v>45739</v>
      </c>
      <c r="B117" s="1" t="s">
        <v>88</v>
      </c>
      <c r="C117" s="2">
        <v>7</v>
      </c>
      <c r="D117" s="1" t="s">
        <v>18</v>
      </c>
      <c r="E117" s="1" t="s">
        <v>13</v>
      </c>
      <c r="F117" s="3">
        <v>0</v>
      </c>
      <c r="G117" s="1" t="s">
        <v>89</v>
      </c>
      <c r="H117" s="1" t="s">
        <v>33</v>
      </c>
      <c r="I117" s="1" t="s">
        <v>26</v>
      </c>
      <c r="J117" s="7">
        <v>76</v>
      </c>
      <c r="K117" s="7">
        <v>89.65</v>
      </c>
      <c r="L117" s="8">
        <v>532</v>
      </c>
      <c r="M117" s="8">
        <v>627.55000000000007</v>
      </c>
      <c r="N117">
        <v>23</v>
      </c>
      <c r="O117" t="s">
        <v>124</v>
      </c>
      <c r="P117" t="s">
        <v>119</v>
      </c>
    </row>
    <row r="118" spans="1:16" x14ac:dyDescent="0.25">
      <c r="A118" s="10">
        <v>45739</v>
      </c>
      <c r="B118" s="1" t="s">
        <v>108</v>
      </c>
      <c r="C118" s="2">
        <v>3</v>
      </c>
      <c r="D118" s="1" t="s">
        <v>12</v>
      </c>
      <c r="E118" s="1" t="s">
        <v>13</v>
      </c>
      <c r="F118" s="3">
        <v>0.02</v>
      </c>
      <c r="G118" s="1" t="s">
        <v>109</v>
      </c>
      <c r="H118" s="1" t="s">
        <v>43</v>
      </c>
      <c r="I118" s="1" t="s">
        <v>26</v>
      </c>
      <c r="J118" s="7">
        <v>65</v>
      </c>
      <c r="K118" s="7">
        <v>70.3</v>
      </c>
      <c r="L118" s="8">
        <v>195</v>
      </c>
      <c r="M118" s="8">
        <v>210.89999999999998</v>
      </c>
      <c r="N118">
        <v>23</v>
      </c>
      <c r="O118" t="s">
        <v>124</v>
      </c>
      <c r="P118" t="s">
        <v>119</v>
      </c>
    </row>
    <row r="119" spans="1:16" x14ac:dyDescent="0.25">
      <c r="A119" s="10">
        <v>45739</v>
      </c>
      <c r="B119" s="1" t="s">
        <v>94</v>
      </c>
      <c r="C119" s="2">
        <v>11</v>
      </c>
      <c r="D119" s="1" t="s">
        <v>18</v>
      </c>
      <c r="E119" s="1" t="s">
        <v>13</v>
      </c>
      <c r="F119" s="3">
        <v>0</v>
      </c>
      <c r="G119" s="1" t="s">
        <v>95</v>
      </c>
      <c r="H119" s="1" t="s">
        <v>20</v>
      </c>
      <c r="I119" s="1" t="s">
        <v>26</v>
      </c>
      <c r="J119" s="7">
        <v>56</v>
      </c>
      <c r="K119" s="7">
        <v>64.06</v>
      </c>
      <c r="L119" s="8">
        <v>616</v>
      </c>
      <c r="M119" s="8">
        <v>704.66000000000008</v>
      </c>
      <c r="N119">
        <v>23</v>
      </c>
      <c r="O119" t="s">
        <v>124</v>
      </c>
      <c r="P119" t="s">
        <v>119</v>
      </c>
    </row>
    <row r="120" spans="1:16" x14ac:dyDescent="0.25">
      <c r="A120" s="10">
        <v>45740</v>
      </c>
      <c r="B120" s="1" t="s">
        <v>70</v>
      </c>
      <c r="C120" s="2">
        <v>9</v>
      </c>
      <c r="D120" s="1" t="s">
        <v>12</v>
      </c>
      <c r="E120" s="1" t="s">
        <v>23</v>
      </c>
      <c r="F120" s="3">
        <v>0.1</v>
      </c>
      <c r="G120" s="1" t="s">
        <v>71</v>
      </c>
      <c r="H120" s="1" t="s">
        <v>43</v>
      </c>
      <c r="I120" s="1" t="s">
        <v>21</v>
      </c>
      <c r="J120" s="7">
        <v>52</v>
      </c>
      <c r="K120" s="7">
        <v>53.84</v>
      </c>
      <c r="L120" s="8">
        <v>468</v>
      </c>
      <c r="M120" s="8">
        <v>484.56000000000006</v>
      </c>
      <c r="N120">
        <v>24</v>
      </c>
      <c r="O120" t="s">
        <v>124</v>
      </c>
      <c r="P120" t="s">
        <v>119</v>
      </c>
    </row>
    <row r="121" spans="1:16" x14ac:dyDescent="0.25">
      <c r="A121" s="10">
        <v>45741</v>
      </c>
      <c r="B121" s="1" t="s">
        <v>102</v>
      </c>
      <c r="C121" s="2">
        <v>6</v>
      </c>
      <c r="D121" s="1" t="s">
        <v>13</v>
      </c>
      <c r="E121" s="1" t="s">
        <v>13</v>
      </c>
      <c r="F121" s="3">
        <v>0</v>
      </c>
      <c r="G121" s="1" t="s">
        <v>103</v>
      </c>
      <c r="H121" s="1" t="s">
        <v>15</v>
      </c>
      <c r="I121" s="1" t="s">
        <v>38</v>
      </c>
      <c r="J121" s="7">
        <v>144</v>
      </c>
      <c r="K121" s="7">
        <v>165.36</v>
      </c>
      <c r="L121" s="8">
        <v>864</v>
      </c>
      <c r="M121" s="8">
        <v>992.16000000000008</v>
      </c>
      <c r="N121">
        <v>25</v>
      </c>
      <c r="O121" t="s">
        <v>124</v>
      </c>
      <c r="P121" t="s">
        <v>119</v>
      </c>
    </row>
    <row r="122" spans="1:16" x14ac:dyDescent="0.25">
      <c r="A122" s="10">
        <v>45743</v>
      </c>
      <c r="B122" s="1" t="s">
        <v>17</v>
      </c>
      <c r="C122" s="2">
        <v>8</v>
      </c>
      <c r="D122" s="1" t="s">
        <v>18</v>
      </c>
      <c r="E122" s="1" t="s">
        <v>13</v>
      </c>
      <c r="F122" s="3">
        <v>0</v>
      </c>
      <c r="G122" s="1" t="s">
        <v>19</v>
      </c>
      <c r="H122" s="1" t="s">
        <v>20</v>
      </c>
      <c r="I122" s="1" t="s">
        <v>21</v>
      </c>
      <c r="J122" s="7">
        <v>48</v>
      </c>
      <c r="K122" s="7">
        <v>52.63</v>
      </c>
      <c r="L122" s="8">
        <v>384</v>
      </c>
      <c r="M122" s="8">
        <v>421.04</v>
      </c>
      <c r="N122">
        <v>27</v>
      </c>
      <c r="O122" t="s">
        <v>124</v>
      </c>
      <c r="P122" t="s">
        <v>119</v>
      </c>
    </row>
    <row r="123" spans="1:16" x14ac:dyDescent="0.25">
      <c r="A123" s="10">
        <v>45743</v>
      </c>
      <c r="B123" s="1" t="s">
        <v>22</v>
      </c>
      <c r="C123" s="2">
        <v>13</v>
      </c>
      <c r="D123" s="1" t="s">
        <v>13</v>
      </c>
      <c r="E123" s="1" t="s">
        <v>23</v>
      </c>
      <c r="F123" s="3">
        <v>0</v>
      </c>
      <c r="G123" s="1" t="s">
        <v>24</v>
      </c>
      <c r="H123" s="1" t="s">
        <v>25</v>
      </c>
      <c r="I123" s="1" t="s">
        <v>26</v>
      </c>
      <c r="J123" s="7">
        <v>112</v>
      </c>
      <c r="K123" s="7">
        <v>132.03</v>
      </c>
      <c r="L123" s="8">
        <v>1456</v>
      </c>
      <c r="M123" s="8">
        <v>1716.39</v>
      </c>
      <c r="N123">
        <v>27</v>
      </c>
      <c r="O123" t="s">
        <v>124</v>
      </c>
      <c r="P123" t="s">
        <v>119</v>
      </c>
    </row>
    <row r="124" spans="1:16" x14ac:dyDescent="0.25">
      <c r="A124" s="10">
        <v>45744</v>
      </c>
      <c r="B124" s="1" t="s">
        <v>82</v>
      </c>
      <c r="C124" s="2">
        <v>2</v>
      </c>
      <c r="D124" s="1" t="s">
        <v>13</v>
      </c>
      <c r="E124" s="1" t="s">
        <v>13</v>
      </c>
      <c r="F124" s="3">
        <v>0.02</v>
      </c>
      <c r="G124" s="1" t="s">
        <v>83</v>
      </c>
      <c r="H124" s="1" t="s">
        <v>33</v>
      </c>
      <c r="I124" s="1" t="s">
        <v>16</v>
      </c>
      <c r="J124" s="7">
        <v>11</v>
      </c>
      <c r="K124" s="7">
        <v>12.37</v>
      </c>
      <c r="L124" s="8">
        <v>22</v>
      </c>
      <c r="M124" s="8">
        <v>24.74</v>
      </c>
      <c r="N124">
        <v>28</v>
      </c>
      <c r="O124" t="s">
        <v>124</v>
      </c>
      <c r="P124" t="s">
        <v>119</v>
      </c>
    </row>
    <row r="125" spans="1:16" x14ac:dyDescent="0.25">
      <c r="A125" s="10">
        <v>45744</v>
      </c>
      <c r="B125" s="1" t="s">
        <v>70</v>
      </c>
      <c r="C125" s="2">
        <v>9</v>
      </c>
      <c r="D125" s="1" t="s">
        <v>18</v>
      </c>
      <c r="E125" s="1" t="s">
        <v>23</v>
      </c>
      <c r="F125" s="3">
        <v>0</v>
      </c>
      <c r="G125" s="1" t="s">
        <v>71</v>
      </c>
      <c r="H125" s="1" t="s">
        <v>43</v>
      </c>
      <c r="I125" s="1" t="s">
        <v>21</v>
      </c>
      <c r="J125" s="7">
        <v>52</v>
      </c>
      <c r="K125" s="7">
        <v>57.98</v>
      </c>
      <c r="L125" s="8">
        <v>468</v>
      </c>
      <c r="M125" s="8">
        <v>521.81999999999994</v>
      </c>
      <c r="N125">
        <v>28</v>
      </c>
      <c r="O125" t="s">
        <v>124</v>
      </c>
      <c r="P125" t="s">
        <v>119</v>
      </c>
    </row>
    <row r="126" spans="1:16" x14ac:dyDescent="0.25">
      <c r="A126" s="10">
        <v>45745</v>
      </c>
      <c r="B126" s="1" t="s">
        <v>82</v>
      </c>
      <c r="C126" s="2">
        <v>10</v>
      </c>
      <c r="D126" s="1" t="s">
        <v>18</v>
      </c>
      <c r="E126" s="1" t="s">
        <v>13</v>
      </c>
      <c r="F126" s="3">
        <v>0</v>
      </c>
      <c r="G126" s="1" t="s">
        <v>83</v>
      </c>
      <c r="H126" s="1" t="s">
        <v>33</v>
      </c>
      <c r="I126" s="1" t="s">
        <v>16</v>
      </c>
      <c r="J126" s="7">
        <v>11</v>
      </c>
      <c r="K126" s="7">
        <v>12.5</v>
      </c>
      <c r="L126" s="8">
        <v>110</v>
      </c>
      <c r="M126" s="8">
        <v>125</v>
      </c>
      <c r="N126">
        <v>29</v>
      </c>
      <c r="O126" t="s">
        <v>124</v>
      </c>
      <c r="P126" t="s">
        <v>119</v>
      </c>
    </row>
    <row r="127" spans="1:16" x14ac:dyDescent="0.25">
      <c r="A127" s="10">
        <v>45747</v>
      </c>
      <c r="B127" s="1" t="s">
        <v>104</v>
      </c>
      <c r="C127" s="2">
        <v>14</v>
      </c>
      <c r="D127" s="1" t="s">
        <v>18</v>
      </c>
      <c r="E127" s="1" t="s">
        <v>13</v>
      </c>
      <c r="F127" s="3">
        <v>0</v>
      </c>
      <c r="G127" s="1" t="s">
        <v>105</v>
      </c>
      <c r="H127" s="1" t="s">
        <v>33</v>
      </c>
      <c r="I127" s="1" t="s">
        <v>26</v>
      </c>
      <c r="J127" s="7">
        <v>90</v>
      </c>
      <c r="K127" s="7">
        <v>101.84</v>
      </c>
      <c r="L127" s="8">
        <v>1260</v>
      </c>
      <c r="M127" s="8">
        <v>1425.76</v>
      </c>
      <c r="N127">
        <v>31</v>
      </c>
      <c r="O127" t="s">
        <v>124</v>
      </c>
      <c r="P127" t="s">
        <v>119</v>
      </c>
    </row>
    <row r="128" spans="1:16" x14ac:dyDescent="0.25">
      <c r="A128" s="10">
        <v>45749</v>
      </c>
      <c r="B128" s="1" t="s">
        <v>100</v>
      </c>
      <c r="C128" s="2">
        <v>15</v>
      </c>
      <c r="D128" s="1" t="s">
        <v>13</v>
      </c>
      <c r="E128" s="1" t="s">
        <v>23</v>
      </c>
      <c r="F128" s="3">
        <v>0</v>
      </c>
      <c r="G128" s="1" t="s">
        <v>101</v>
      </c>
      <c r="H128" s="1" t="s">
        <v>25</v>
      </c>
      <c r="I128" s="1" t="s">
        <v>26</v>
      </c>
      <c r="J128" s="7">
        <v>88</v>
      </c>
      <c r="K128" s="7">
        <v>100.49</v>
      </c>
      <c r="L128" s="8">
        <v>1320</v>
      </c>
      <c r="M128" s="8">
        <v>1507.35</v>
      </c>
      <c r="N128">
        <v>2</v>
      </c>
      <c r="O128" t="s">
        <v>125</v>
      </c>
      <c r="P128" t="s">
        <v>119</v>
      </c>
    </row>
    <row r="129" spans="1:16" x14ac:dyDescent="0.25">
      <c r="A129" s="10">
        <v>45750</v>
      </c>
      <c r="B129" s="1" t="s">
        <v>76</v>
      </c>
      <c r="C129" s="2">
        <v>10</v>
      </c>
      <c r="D129" s="1" t="s">
        <v>18</v>
      </c>
      <c r="E129" s="1" t="s">
        <v>23</v>
      </c>
      <c r="F129" s="3">
        <v>0</v>
      </c>
      <c r="G129" s="1" t="s">
        <v>77</v>
      </c>
      <c r="H129" s="1" t="s">
        <v>25</v>
      </c>
      <c r="I129" s="1" t="s">
        <v>26</v>
      </c>
      <c r="J129" s="7">
        <v>105</v>
      </c>
      <c r="K129" s="7">
        <v>120.05</v>
      </c>
      <c r="L129" s="8">
        <v>1050</v>
      </c>
      <c r="M129" s="8">
        <v>1200.5</v>
      </c>
      <c r="N129">
        <v>3</v>
      </c>
      <c r="O129" t="s">
        <v>125</v>
      </c>
      <c r="P129" t="s">
        <v>119</v>
      </c>
    </row>
    <row r="130" spans="1:16" x14ac:dyDescent="0.25">
      <c r="A130" s="10">
        <v>45750</v>
      </c>
      <c r="B130" s="1" t="s">
        <v>31</v>
      </c>
      <c r="C130" s="2">
        <v>13</v>
      </c>
      <c r="D130" s="1" t="s">
        <v>18</v>
      </c>
      <c r="E130" s="1" t="s">
        <v>23</v>
      </c>
      <c r="F130" s="3">
        <v>0</v>
      </c>
      <c r="G130" s="1" t="s">
        <v>32</v>
      </c>
      <c r="H130" s="1" t="s">
        <v>33</v>
      </c>
      <c r="I130" s="1" t="s">
        <v>21</v>
      </c>
      <c r="J130" s="7">
        <v>63</v>
      </c>
      <c r="K130" s="7">
        <v>68.319999999999993</v>
      </c>
      <c r="L130" s="8">
        <v>819</v>
      </c>
      <c r="M130" s="8">
        <v>888.15999999999985</v>
      </c>
      <c r="N130">
        <v>3</v>
      </c>
      <c r="O130" t="s">
        <v>125</v>
      </c>
      <c r="P130" t="s">
        <v>119</v>
      </c>
    </row>
    <row r="131" spans="1:16" x14ac:dyDescent="0.25">
      <c r="A131" s="10">
        <v>45753</v>
      </c>
      <c r="B131" s="1" t="s">
        <v>48</v>
      </c>
      <c r="C131" s="2">
        <v>15</v>
      </c>
      <c r="D131" s="1" t="s">
        <v>13</v>
      </c>
      <c r="E131" s="1" t="s">
        <v>13</v>
      </c>
      <c r="F131" s="3">
        <v>0</v>
      </c>
      <c r="G131" s="1" t="s">
        <v>49</v>
      </c>
      <c r="H131" s="1" t="s">
        <v>15</v>
      </c>
      <c r="I131" s="1" t="s">
        <v>26</v>
      </c>
      <c r="J131" s="7">
        <v>67</v>
      </c>
      <c r="K131" s="7">
        <v>73.08</v>
      </c>
      <c r="L131" s="8">
        <v>1005</v>
      </c>
      <c r="M131" s="8">
        <v>1096.2</v>
      </c>
      <c r="N131">
        <v>6</v>
      </c>
      <c r="O131" t="s">
        <v>125</v>
      </c>
      <c r="P131" t="s">
        <v>119</v>
      </c>
    </row>
    <row r="132" spans="1:16" x14ac:dyDescent="0.25">
      <c r="A132" s="10">
        <v>45753</v>
      </c>
      <c r="B132" s="1" t="s">
        <v>58</v>
      </c>
      <c r="C132" s="2">
        <v>12</v>
      </c>
      <c r="D132" s="1" t="s">
        <v>13</v>
      </c>
      <c r="E132" s="1" t="s">
        <v>13</v>
      </c>
      <c r="F132" s="3">
        <v>0</v>
      </c>
      <c r="G132" s="1" t="s">
        <v>59</v>
      </c>
      <c r="H132" s="1" t="s">
        <v>43</v>
      </c>
      <c r="I132" s="1" t="s">
        <v>26</v>
      </c>
      <c r="J132" s="7">
        <v>98</v>
      </c>
      <c r="K132" s="7">
        <v>113.26</v>
      </c>
      <c r="L132" s="8">
        <v>1176</v>
      </c>
      <c r="M132" s="8">
        <v>1359.1200000000001</v>
      </c>
      <c r="N132">
        <v>6</v>
      </c>
      <c r="O132" t="s">
        <v>125</v>
      </c>
      <c r="P132" t="s">
        <v>119</v>
      </c>
    </row>
    <row r="133" spans="1:16" x14ac:dyDescent="0.25">
      <c r="A133" s="10">
        <v>45755</v>
      </c>
      <c r="B133" s="1" t="s">
        <v>27</v>
      </c>
      <c r="C133" s="2">
        <v>8</v>
      </c>
      <c r="D133" s="1" t="s">
        <v>12</v>
      </c>
      <c r="E133" s="1" t="s">
        <v>13</v>
      </c>
      <c r="F133" s="3">
        <v>0</v>
      </c>
      <c r="G133" s="1" t="s">
        <v>28</v>
      </c>
      <c r="H133" s="1" t="s">
        <v>25</v>
      </c>
      <c r="I133" s="1" t="s">
        <v>26</v>
      </c>
      <c r="J133" s="7">
        <v>47</v>
      </c>
      <c r="K133" s="7">
        <v>50.87</v>
      </c>
      <c r="L133" s="8">
        <v>376</v>
      </c>
      <c r="M133" s="8">
        <v>406.96</v>
      </c>
      <c r="N133">
        <v>8</v>
      </c>
      <c r="O133" t="s">
        <v>125</v>
      </c>
      <c r="P133" t="s">
        <v>119</v>
      </c>
    </row>
    <row r="134" spans="1:16" x14ac:dyDescent="0.25">
      <c r="A134" s="10">
        <v>45757</v>
      </c>
      <c r="B134" s="1" t="s">
        <v>102</v>
      </c>
      <c r="C134" s="2">
        <v>9</v>
      </c>
      <c r="D134" s="1" t="s">
        <v>13</v>
      </c>
      <c r="E134" s="1" t="s">
        <v>13</v>
      </c>
      <c r="F134" s="3">
        <v>0</v>
      </c>
      <c r="G134" s="1" t="s">
        <v>103</v>
      </c>
      <c r="H134" s="1" t="s">
        <v>15</v>
      </c>
      <c r="I134" s="1" t="s">
        <v>38</v>
      </c>
      <c r="J134" s="7">
        <v>144</v>
      </c>
      <c r="K134" s="7">
        <v>166.53</v>
      </c>
      <c r="L134" s="8">
        <v>1296</v>
      </c>
      <c r="M134" s="8">
        <v>1498.77</v>
      </c>
      <c r="N134">
        <v>10</v>
      </c>
      <c r="O134" t="s">
        <v>125</v>
      </c>
      <c r="P134" t="s">
        <v>119</v>
      </c>
    </row>
    <row r="135" spans="1:16" x14ac:dyDescent="0.25">
      <c r="A135" s="10">
        <v>45757</v>
      </c>
      <c r="B135" s="1" t="s">
        <v>11</v>
      </c>
      <c r="C135" s="2">
        <v>9</v>
      </c>
      <c r="D135" s="1" t="s">
        <v>18</v>
      </c>
      <c r="E135" s="1" t="s">
        <v>13</v>
      </c>
      <c r="F135" s="3">
        <v>0</v>
      </c>
      <c r="G135" s="1" t="s">
        <v>14</v>
      </c>
      <c r="H135" s="1" t="s">
        <v>15</v>
      </c>
      <c r="I135" s="1" t="s">
        <v>16</v>
      </c>
      <c r="J135" s="7">
        <v>7</v>
      </c>
      <c r="K135" s="7">
        <v>7.9</v>
      </c>
      <c r="L135" s="8">
        <v>63</v>
      </c>
      <c r="M135" s="8">
        <v>71.100000000000009</v>
      </c>
      <c r="N135">
        <v>10</v>
      </c>
      <c r="O135" t="s">
        <v>125</v>
      </c>
      <c r="P135" t="s">
        <v>119</v>
      </c>
    </row>
    <row r="136" spans="1:16" x14ac:dyDescent="0.25">
      <c r="A136" s="10">
        <v>45760</v>
      </c>
      <c r="B136" s="1" t="s">
        <v>108</v>
      </c>
      <c r="C136" s="2">
        <v>10</v>
      </c>
      <c r="D136" s="1" t="s">
        <v>13</v>
      </c>
      <c r="E136" s="1" t="s">
        <v>23</v>
      </c>
      <c r="F136" s="3">
        <v>0</v>
      </c>
      <c r="G136" s="1" t="s">
        <v>109</v>
      </c>
      <c r="H136" s="1" t="s">
        <v>43</v>
      </c>
      <c r="I136" s="1" t="s">
        <v>26</v>
      </c>
      <c r="J136" s="7">
        <v>65</v>
      </c>
      <c r="K136" s="7">
        <v>70.94</v>
      </c>
      <c r="L136" s="8">
        <v>650</v>
      </c>
      <c r="M136" s="8">
        <v>709.4</v>
      </c>
      <c r="N136">
        <v>13</v>
      </c>
      <c r="O136" t="s">
        <v>125</v>
      </c>
      <c r="P136" t="s">
        <v>119</v>
      </c>
    </row>
    <row r="137" spans="1:16" x14ac:dyDescent="0.25">
      <c r="A137" s="10">
        <v>45760</v>
      </c>
      <c r="B137" s="1" t="s">
        <v>54</v>
      </c>
      <c r="C137" s="2">
        <v>6</v>
      </c>
      <c r="D137" s="1" t="s">
        <v>12</v>
      </c>
      <c r="E137" s="1" t="s">
        <v>13</v>
      </c>
      <c r="F137" s="3">
        <v>0</v>
      </c>
      <c r="G137" s="1" t="s">
        <v>55</v>
      </c>
      <c r="H137" s="1" t="s">
        <v>43</v>
      </c>
      <c r="I137" s="1" t="s">
        <v>26</v>
      </c>
      <c r="J137" s="7">
        <v>71</v>
      </c>
      <c r="K137" s="7">
        <v>78.48</v>
      </c>
      <c r="L137" s="8">
        <v>426</v>
      </c>
      <c r="M137" s="8">
        <v>470.88</v>
      </c>
      <c r="N137">
        <v>13</v>
      </c>
      <c r="O137" t="s">
        <v>125</v>
      </c>
      <c r="P137" t="s">
        <v>119</v>
      </c>
    </row>
    <row r="138" spans="1:16" x14ac:dyDescent="0.25">
      <c r="A138" s="10">
        <v>45760</v>
      </c>
      <c r="B138" s="1" t="s">
        <v>84</v>
      </c>
      <c r="C138" s="2">
        <v>15</v>
      </c>
      <c r="D138" s="1" t="s">
        <v>18</v>
      </c>
      <c r="E138" s="1" t="s">
        <v>23</v>
      </c>
      <c r="F138" s="3">
        <v>0</v>
      </c>
      <c r="G138" s="1" t="s">
        <v>85</v>
      </c>
      <c r="H138" s="1" t="s">
        <v>33</v>
      </c>
      <c r="I138" s="1" t="s">
        <v>38</v>
      </c>
      <c r="J138" s="7">
        <v>120</v>
      </c>
      <c r="K138" s="7">
        <v>139.22999999999999</v>
      </c>
      <c r="L138" s="8">
        <v>1800</v>
      </c>
      <c r="M138" s="8">
        <v>2088.4499999999998</v>
      </c>
      <c r="N138">
        <v>13</v>
      </c>
      <c r="O138" t="s">
        <v>125</v>
      </c>
      <c r="P138" t="s">
        <v>119</v>
      </c>
    </row>
    <row r="139" spans="1:16" x14ac:dyDescent="0.25">
      <c r="A139" s="10">
        <v>45761</v>
      </c>
      <c r="B139" s="1" t="s">
        <v>72</v>
      </c>
      <c r="C139" s="2">
        <v>9</v>
      </c>
      <c r="D139" s="1" t="s">
        <v>13</v>
      </c>
      <c r="E139" s="1" t="s">
        <v>13</v>
      </c>
      <c r="F139" s="3">
        <v>0</v>
      </c>
      <c r="G139" s="1" t="s">
        <v>73</v>
      </c>
      <c r="H139" s="1" t="s">
        <v>33</v>
      </c>
      <c r="I139" s="1" t="s">
        <v>26</v>
      </c>
      <c r="J139" s="7">
        <v>67</v>
      </c>
      <c r="K139" s="7">
        <v>75.319999999999993</v>
      </c>
      <c r="L139" s="8">
        <v>603</v>
      </c>
      <c r="M139" s="8">
        <v>677.87999999999988</v>
      </c>
      <c r="N139">
        <v>14</v>
      </c>
      <c r="O139" t="s">
        <v>125</v>
      </c>
      <c r="P139" t="s">
        <v>119</v>
      </c>
    </row>
    <row r="140" spans="1:16" x14ac:dyDescent="0.25">
      <c r="A140" s="10">
        <v>45762</v>
      </c>
      <c r="B140" s="1" t="s">
        <v>88</v>
      </c>
      <c r="C140" s="2">
        <v>11</v>
      </c>
      <c r="D140" s="1" t="s">
        <v>12</v>
      </c>
      <c r="E140" s="1" t="s">
        <v>13</v>
      </c>
      <c r="F140" s="3">
        <v>0.02</v>
      </c>
      <c r="G140" s="1" t="s">
        <v>89</v>
      </c>
      <c r="H140" s="1" t="s">
        <v>33</v>
      </c>
      <c r="I140" s="1" t="s">
        <v>26</v>
      </c>
      <c r="J140" s="7">
        <v>76</v>
      </c>
      <c r="K140" s="7">
        <v>81.12</v>
      </c>
      <c r="L140" s="8">
        <v>836</v>
      </c>
      <c r="M140" s="8">
        <v>892.32</v>
      </c>
      <c r="N140">
        <v>15</v>
      </c>
      <c r="O140" t="s">
        <v>125</v>
      </c>
      <c r="P140" t="s">
        <v>119</v>
      </c>
    </row>
    <row r="141" spans="1:16" x14ac:dyDescent="0.25">
      <c r="A141" s="10">
        <v>45763</v>
      </c>
      <c r="B141" s="1" t="s">
        <v>96</v>
      </c>
      <c r="C141" s="2">
        <v>8</v>
      </c>
      <c r="D141" s="1" t="s">
        <v>13</v>
      </c>
      <c r="E141" s="1" t="s">
        <v>23</v>
      </c>
      <c r="F141" s="3">
        <v>0</v>
      </c>
      <c r="G141" s="1" t="s">
        <v>97</v>
      </c>
      <c r="H141" s="1" t="s">
        <v>20</v>
      </c>
      <c r="I141" s="1" t="s">
        <v>21</v>
      </c>
      <c r="J141" s="7">
        <v>55</v>
      </c>
      <c r="K141" s="7">
        <v>63.23</v>
      </c>
      <c r="L141" s="8">
        <v>440</v>
      </c>
      <c r="M141" s="8">
        <v>505.84</v>
      </c>
      <c r="N141">
        <v>16</v>
      </c>
      <c r="O141" t="s">
        <v>125</v>
      </c>
      <c r="P141" t="s">
        <v>119</v>
      </c>
    </row>
    <row r="142" spans="1:16" x14ac:dyDescent="0.25">
      <c r="A142" s="10">
        <v>45763</v>
      </c>
      <c r="B142" s="1" t="s">
        <v>110</v>
      </c>
      <c r="C142" s="2">
        <v>7</v>
      </c>
      <c r="D142" s="1" t="s">
        <v>18</v>
      </c>
      <c r="E142" s="1" t="s">
        <v>13</v>
      </c>
      <c r="F142" s="3">
        <v>0</v>
      </c>
      <c r="G142" s="1" t="s">
        <v>111</v>
      </c>
      <c r="H142" s="1" t="s">
        <v>25</v>
      </c>
      <c r="I142" s="1" t="s">
        <v>26</v>
      </c>
      <c r="J142" s="7">
        <v>112</v>
      </c>
      <c r="K142" s="7">
        <v>124.29</v>
      </c>
      <c r="L142" s="8">
        <v>784</v>
      </c>
      <c r="M142" s="8">
        <v>870.03000000000009</v>
      </c>
      <c r="N142">
        <v>16</v>
      </c>
      <c r="O142" t="s">
        <v>125</v>
      </c>
      <c r="P142" t="s">
        <v>119</v>
      </c>
    </row>
    <row r="143" spans="1:16" x14ac:dyDescent="0.25">
      <c r="A143" s="10">
        <v>45766</v>
      </c>
      <c r="B143" s="1" t="s">
        <v>36</v>
      </c>
      <c r="C143" s="2">
        <v>13</v>
      </c>
      <c r="D143" s="1" t="s">
        <v>13</v>
      </c>
      <c r="E143" s="1" t="s">
        <v>13</v>
      </c>
      <c r="F143" s="3">
        <v>0</v>
      </c>
      <c r="G143" s="1" t="s">
        <v>37</v>
      </c>
      <c r="H143" s="1" t="s">
        <v>15</v>
      </c>
      <c r="I143" s="1" t="s">
        <v>38</v>
      </c>
      <c r="J143" s="7">
        <v>141</v>
      </c>
      <c r="K143" s="7">
        <v>162.16999999999999</v>
      </c>
      <c r="L143" s="8">
        <v>1833</v>
      </c>
      <c r="M143" s="8">
        <v>2108.21</v>
      </c>
      <c r="N143">
        <v>19</v>
      </c>
      <c r="O143" t="s">
        <v>125</v>
      </c>
      <c r="P143" t="s">
        <v>119</v>
      </c>
    </row>
    <row r="144" spans="1:16" x14ac:dyDescent="0.25">
      <c r="A144" s="10">
        <v>45766</v>
      </c>
      <c r="B144" s="1" t="s">
        <v>29</v>
      </c>
      <c r="C144" s="2">
        <v>11</v>
      </c>
      <c r="D144" s="1" t="s">
        <v>13</v>
      </c>
      <c r="E144" s="1" t="s">
        <v>23</v>
      </c>
      <c r="F144" s="3">
        <v>0</v>
      </c>
      <c r="G144" s="1" t="s">
        <v>30</v>
      </c>
      <c r="H144" s="1" t="s">
        <v>15</v>
      </c>
      <c r="I144" s="1" t="s">
        <v>16</v>
      </c>
      <c r="J144" s="7">
        <v>12</v>
      </c>
      <c r="K144" s="7">
        <v>13.05</v>
      </c>
      <c r="L144" s="8">
        <v>132</v>
      </c>
      <c r="M144" s="8">
        <v>143.55000000000001</v>
      </c>
      <c r="N144">
        <v>19</v>
      </c>
      <c r="O144" t="s">
        <v>125</v>
      </c>
      <c r="P144" t="s">
        <v>119</v>
      </c>
    </row>
    <row r="145" spans="1:16" x14ac:dyDescent="0.25">
      <c r="A145" s="10">
        <v>45766</v>
      </c>
      <c r="B145" s="1" t="s">
        <v>110</v>
      </c>
      <c r="C145" s="2">
        <v>12</v>
      </c>
      <c r="D145" s="1" t="s">
        <v>13</v>
      </c>
      <c r="E145" s="1" t="s">
        <v>13</v>
      </c>
      <c r="F145" s="3">
        <v>0</v>
      </c>
      <c r="G145" s="1" t="s">
        <v>111</v>
      </c>
      <c r="H145" s="1" t="s">
        <v>25</v>
      </c>
      <c r="I145" s="1" t="s">
        <v>26</v>
      </c>
      <c r="J145" s="7">
        <v>112</v>
      </c>
      <c r="K145" s="7">
        <v>128.75</v>
      </c>
      <c r="L145" s="8">
        <v>1344</v>
      </c>
      <c r="M145" s="8">
        <v>1545</v>
      </c>
      <c r="N145">
        <v>19</v>
      </c>
      <c r="O145" t="s">
        <v>125</v>
      </c>
      <c r="P145" t="s">
        <v>119</v>
      </c>
    </row>
    <row r="146" spans="1:16" x14ac:dyDescent="0.25">
      <c r="A146" s="10">
        <v>45767</v>
      </c>
      <c r="B146" s="1" t="s">
        <v>112</v>
      </c>
      <c r="C146" s="2">
        <v>5</v>
      </c>
      <c r="D146" s="1" t="s">
        <v>13</v>
      </c>
      <c r="E146" s="1" t="s">
        <v>13</v>
      </c>
      <c r="F146" s="3">
        <v>0</v>
      </c>
      <c r="G146" s="1" t="s">
        <v>113</v>
      </c>
      <c r="H146" s="1" t="s">
        <v>20</v>
      </c>
      <c r="I146" s="1" t="s">
        <v>16</v>
      </c>
      <c r="J146" s="7">
        <v>9</v>
      </c>
      <c r="K146" s="7">
        <v>10.51</v>
      </c>
      <c r="L146" s="8">
        <v>45</v>
      </c>
      <c r="M146" s="8">
        <v>52.55</v>
      </c>
      <c r="N146">
        <v>20</v>
      </c>
      <c r="O146" t="s">
        <v>125</v>
      </c>
      <c r="P146" t="s">
        <v>119</v>
      </c>
    </row>
    <row r="147" spans="1:16" x14ac:dyDescent="0.25">
      <c r="A147" s="10">
        <v>45767</v>
      </c>
      <c r="B147" s="1" t="s">
        <v>52</v>
      </c>
      <c r="C147" s="2">
        <v>5</v>
      </c>
      <c r="D147" s="1" t="s">
        <v>13</v>
      </c>
      <c r="E147" s="1" t="s">
        <v>23</v>
      </c>
      <c r="F147" s="3">
        <v>0.02</v>
      </c>
      <c r="G147" s="1" t="s">
        <v>53</v>
      </c>
      <c r="H147" s="1" t="s">
        <v>25</v>
      </c>
      <c r="I147" s="1" t="s">
        <v>21</v>
      </c>
      <c r="J147" s="7">
        <v>58</v>
      </c>
      <c r="K147" s="7">
        <v>65.06</v>
      </c>
      <c r="L147" s="8">
        <v>290</v>
      </c>
      <c r="M147" s="8">
        <v>325.3</v>
      </c>
      <c r="N147">
        <v>20</v>
      </c>
      <c r="O147" t="s">
        <v>125</v>
      </c>
      <c r="P147" t="s">
        <v>119</v>
      </c>
    </row>
    <row r="148" spans="1:16" x14ac:dyDescent="0.25">
      <c r="A148" s="10">
        <v>45768</v>
      </c>
      <c r="B148" s="1" t="s">
        <v>54</v>
      </c>
      <c r="C148" s="2">
        <v>15</v>
      </c>
      <c r="D148" s="1" t="s">
        <v>13</v>
      </c>
      <c r="E148" s="1" t="s">
        <v>13</v>
      </c>
      <c r="F148" s="3">
        <v>0</v>
      </c>
      <c r="G148" s="1" t="s">
        <v>55</v>
      </c>
      <c r="H148" s="1" t="s">
        <v>43</v>
      </c>
      <c r="I148" s="1" t="s">
        <v>26</v>
      </c>
      <c r="J148" s="7">
        <v>71</v>
      </c>
      <c r="K148" s="7">
        <v>81.14</v>
      </c>
      <c r="L148" s="8">
        <v>1065</v>
      </c>
      <c r="M148" s="8">
        <v>1217.0999999999999</v>
      </c>
      <c r="N148">
        <v>21</v>
      </c>
      <c r="O148" t="s">
        <v>125</v>
      </c>
      <c r="P148" t="s">
        <v>119</v>
      </c>
    </row>
    <row r="149" spans="1:16" x14ac:dyDescent="0.25">
      <c r="A149" s="10">
        <v>45769</v>
      </c>
      <c r="B149" s="1" t="s">
        <v>56</v>
      </c>
      <c r="C149" s="2">
        <v>12</v>
      </c>
      <c r="D149" s="1" t="s">
        <v>13</v>
      </c>
      <c r="E149" s="1" t="s">
        <v>13</v>
      </c>
      <c r="F149" s="3">
        <v>0</v>
      </c>
      <c r="G149" s="1" t="s">
        <v>57</v>
      </c>
      <c r="H149" s="1" t="s">
        <v>20</v>
      </c>
      <c r="I149" s="1" t="s">
        <v>26</v>
      </c>
      <c r="J149" s="7">
        <v>79</v>
      </c>
      <c r="K149" s="7">
        <v>90.12</v>
      </c>
      <c r="L149" s="8">
        <v>948</v>
      </c>
      <c r="M149" s="8">
        <v>1081.44</v>
      </c>
      <c r="N149">
        <v>22</v>
      </c>
      <c r="O149" t="s">
        <v>125</v>
      </c>
      <c r="P149" t="s">
        <v>119</v>
      </c>
    </row>
    <row r="150" spans="1:16" x14ac:dyDescent="0.25">
      <c r="A150" s="10">
        <v>45769</v>
      </c>
      <c r="B150" s="1" t="s">
        <v>62</v>
      </c>
      <c r="C150" s="2">
        <v>11</v>
      </c>
      <c r="D150" s="1" t="s">
        <v>18</v>
      </c>
      <c r="E150" s="1" t="s">
        <v>23</v>
      </c>
      <c r="F150" s="3">
        <v>0</v>
      </c>
      <c r="G150" s="1" t="s">
        <v>63</v>
      </c>
      <c r="H150" s="1" t="s">
        <v>15</v>
      </c>
      <c r="I150" s="1" t="s">
        <v>38</v>
      </c>
      <c r="J150" s="7">
        <v>95</v>
      </c>
      <c r="K150" s="7">
        <v>107.62</v>
      </c>
      <c r="L150" s="8">
        <v>1045</v>
      </c>
      <c r="M150" s="8">
        <v>1183.8200000000002</v>
      </c>
      <c r="N150">
        <v>22</v>
      </c>
      <c r="O150" t="s">
        <v>125</v>
      </c>
      <c r="P150" t="s">
        <v>119</v>
      </c>
    </row>
    <row r="151" spans="1:16" x14ac:dyDescent="0.25">
      <c r="A151" s="10">
        <v>45769</v>
      </c>
      <c r="B151" s="1" t="s">
        <v>41</v>
      </c>
      <c r="C151" s="2">
        <v>15</v>
      </c>
      <c r="D151" s="1" t="s">
        <v>13</v>
      </c>
      <c r="E151" s="1" t="s">
        <v>23</v>
      </c>
      <c r="F151" s="3">
        <v>0</v>
      </c>
      <c r="G151" s="1" t="s">
        <v>42</v>
      </c>
      <c r="H151" s="1" t="s">
        <v>43</v>
      </c>
      <c r="I151" s="1" t="s">
        <v>26</v>
      </c>
      <c r="J151" s="7">
        <v>75</v>
      </c>
      <c r="K151" s="7">
        <v>83.88</v>
      </c>
      <c r="L151" s="8">
        <v>1125</v>
      </c>
      <c r="M151" s="8">
        <v>1258.1999999999998</v>
      </c>
      <c r="N151">
        <v>22</v>
      </c>
      <c r="O151" t="s">
        <v>125</v>
      </c>
      <c r="P151" t="s">
        <v>119</v>
      </c>
    </row>
    <row r="152" spans="1:16" x14ac:dyDescent="0.25">
      <c r="A152" s="10">
        <v>45770</v>
      </c>
      <c r="B152" s="1" t="s">
        <v>106</v>
      </c>
      <c r="C152" s="2">
        <v>9</v>
      </c>
      <c r="D152" s="1" t="s">
        <v>18</v>
      </c>
      <c r="E152" s="1" t="s">
        <v>23</v>
      </c>
      <c r="F152" s="3">
        <v>0</v>
      </c>
      <c r="G152" s="1" t="s">
        <v>107</v>
      </c>
      <c r="H152" s="1" t="s">
        <v>25</v>
      </c>
      <c r="I152" s="1" t="s">
        <v>21</v>
      </c>
      <c r="J152" s="7">
        <v>39</v>
      </c>
      <c r="K152" s="7">
        <v>42.72</v>
      </c>
      <c r="L152" s="8">
        <v>351</v>
      </c>
      <c r="M152" s="8">
        <v>384.48</v>
      </c>
      <c r="N152">
        <v>23</v>
      </c>
      <c r="O152" t="s">
        <v>125</v>
      </c>
      <c r="P152" t="s">
        <v>119</v>
      </c>
    </row>
    <row r="153" spans="1:16" x14ac:dyDescent="0.25">
      <c r="A153" s="10">
        <v>45771</v>
      </c>
      <c r="B153" s="1" t="s">
        <v>76</v>
      </c>
      <c r="C153" s="2">
        <v>1</v>
      </c>
      <c r="D153" s="1" t="s">
        <v>13</v>
      </c>
      <c r="E153" s="1" t="s">
        <v>13</v>
      </c>
      <c r="F153" s="3">
        <v>0</v>
      </c>
      <c r="G153" s="1" t="s">
        <v>77</v>
      </c>
      <c r="H153" s="1" t="s">
        <v>25</v>
      </c>
      <c r="I153" s="1" t="s">
        <v>26</v>
      </c>
      <c r="J153" s="7">
        <v>105</v>
      </c>
      <c r="K153" s="7">
        <v>115.46</v>
      </c>
      <c r="L153" s="8">
        <v>105</v>
      </c>
      <c r="M153" s="8">
        <v>115.46</v>
      </c>
      <c r="N153">
        <v>24</v>
      </c>
      <c r="O153" t="s">
        <v>125</v>
      </c>
      <c r="P153" t="s">
        <v>119</v>
      </c>
    </row>
    <row r="154" spans="1:16" x14ac:dyDescent="0.25">
      <c r="A154" s="10">
        <v>45771</v>
      </c>
      <c r="B154" s="1" t="s">
        <v>106</v>
      </c>
      <c r="C154" s="2">
        <v>4</v>
      </c>
      <c r="D154" s="1" t="s">
        <v>12</v>
      </c>
      <c r="E154" s="1" t="s">
        <v>13</v>
      </c>
      <c r="F154" s="3">
        <v>0</v>
      </c>
      <c r="G154" s="1" t="s">
        <v>107</v>
      </c>
      <c r="H154" s="1" t="s">
        <v>25</v>
      </c>
      <c r="I154" s="1" t="s">
        <v>21</v>
      </c>
      <c r="J154" s="7">
        <v>39</v>
      </c>
      <c r="K154" s="7">
        <v>42.45</v>
      </c>
      <c r="L154" s="8">
        <v>156</v>
      </c>
      <c r="M154" s="8">
        <v>169.8</v>
      </c>
      <c r="N154">
        <v>24</v>
      </c>
      <c r="O154" t="s">
        <v>125</v>
      </c>
      <c r="P154" t="s">
        <v>119</v>
      </c>
    </row>
    <row r="155" spans="1:16" x14ac:dyDescent="0.25">
      <c r="A155" s="10">
        <v>45773</v>
      </c>
      <c r="B155" s="1" t="s">
        <v>110</v>
      </c>
      <c r="C155" s="2">
        <v>3</v>
      </c>
      <c r="D155" s="1" t="s">
        <v>13</v>
      </c>
      <c r="E155" s="1" t="s">
        <v>23</v>
      </c>
      <c r="F155" s="3">
        <v>0</v>
      </c>
      <c r="G155" s="1" t="s">
        <v>111</v>
      </c>
      <c r="H155" s="1" t="s">
        <v>25</v>
      </c>
      <c r="I155" s="1" t="s">
        <v>26</v>
      </c>
      <c r="J155" s="7">
        <v>112</v>
      </c>
      <c r="K155" s="7">
        <v>127.81</v>
      </c>
      <c r="L155" s="8">
        <v>336</v>
      </c>
      <c r="M155" s="8">
        <v>383.43</v>
      </c>
      <c r="N155">
        <v>26</v>
      </c>
      <c r="O155" t="s">
        <v>125</v>
      </c>
      <c r="P155" t="s">
        <v>119</v>
      </c>
    </row>
    <row r="156" spans="1:16" x14ac:dyDescent="0.25">
      <c r="A156" s="10">
        <v>45773</v>
      </c>
      <c r="B156" s="1" t="s">
        <v>96</v>
      </c>
      <c r="C156" s="2">
        <v>7</v>
      </c>
      <c r="D156" s="1" t="s">
        <v>18</v>
      </c>
      <c r="E156" s="1" t="s">
        <v>13</v>
      </c>
      <c r="F156" s="3">
        <v>0</v>
      </c>
      <c r="G156" s="1" t="s">
        <v>97</v>
      </c>
      <c r="H156" s="1" t="s">
        <v>20</v>
      </c>
      <c r="I156" s="1" t="s">
        <v>21</v>
      </c>
      <c r="J156" s="7">
        <v>55</v>
      </c>
      <c r="K156" s="7">
        <v>62.64</v>
      </c>
      <c r="L156" s="8">
        <v>385</v>
      </c>
      <c r="M156" s="8">
        <v>438.48</v>
      </c>
      <c r="N156">
        <v>26</v>
      </c>
      <c r="O156" t="s">
        <v>125</v>
      </c>
      <c r="P156" t="s">
        <v>119</v>
      </c>
    </row>
    <row r="157" spans="1:16" x14ac:dyDescent="0.25">
      <c r="A157" s="10">
        <v>45773</v>
      </c>
      <c r="B157" s="1" t="s">
        <v>36</v>
      </c>
      <c r="C157" s="2">
        <v>9</v>
      </c>
      <c r="D157" s="1" t="s">
        <v>12</v>
      </c>
      <c r="E157" s="1" t="s">
        <v>23</v>
      </c>
      <c r="F157" s="3">
        <v>0.08</v>
      </c>
      <c r="G157" s="1" t="s">
        <v>37</v>
      </c>
      <c r="H157" s="1" t="s">
        <v>15</v>
      </c>
      <c r="I157" s="1" t="s">
        <v>38</v>
      </c>
      <c r="J157" s="7">
        <v>141</v>
      </c>
      <c r="K157" s="7">
        <v>141.72</v>
      </c>
      <c r="L157" s="8">
        <v>1269</v>
      </c>
      <c r="M157" s="8">
        <v>1275.48</v>
      </c>
      <c r="N157">
        <v>26</v>
      </c>
      <c r="O157" t="s">
        <v>125</v>
      </c>
      <c r="P157" t="s">
        <v>119</v>
      </c>
    </row>
    <row r="158" spans="1:16" x14ac:dyDescent="0.25">
      <c r="A158" s="10">
        <v>45774</v>
      </c>
      <c r="B158" s="1" t="s">
        <v>41</v>
      </c>
      <c r="C158" s="2">
        <v>7</v>
      </c>
      <c r="D158" s="1" t="s">
        <v>12</v>
      </c>
      <c r="E158" s="1" t="s">
        <v>23</v>
      </c>
      <c r="F158" s="3">
        <v>0</v>
      </c>
      <c r="G158" s="1" t="s">
        <v>42</v>
      </c>
      <c r="H158" s="1" t="s">
        <v>43</v>
      </c>
      <c r="I158" s="1" t="s">
        <v>26</v>
      </c>
      <c r="J158" s="7">
        <v>75</v>
      </c>
      <c r="K158" s="7">
        <v>87.78</v>
      </c>
      <c r="L158" s="8">
        <v>525</v>
      </c>
      <c r="M158" s="8">
        <v>614.46</v>
      </c>
      <c r="N158">
        <v>27</v>
      </c>
      <c r="O158" t="s">
        <v>125</v>
      </c>
      <c r="P158" t="s">
        <v>119</v>
      </c>
    </row>
    <row r="159" spans="1:16" x14ac:dyDescent="0.25">
      <c r="A159" s="10">
        <v>45775</v>
      </c>
      <c r="B159" s="1" t="s">
        <v>54</v>
      </c>
      <c r="C159" s="2">
        <v>13</v>
      </c>
      <c r="D159" s="1" t="s">
        <v>13</v>
      </c>
      <c r="E159" s="1" t="s">
        <v>13</v>
      </c>
      <c r="F159" s="3">
        <v>0.05</v>
      </c>
      <c r="G159" s="1" t="s">
        <v>55</v>
      </c>
      <c r="H159" s="1" t="s">
        <v>43</v>
      </c>
      <c r="I159" s="1" t="s">
        <v>26</v>
      </c>
      <c r="J159" s="7">
        <v>71</v>
      </c>
      <c r="K159" s="7">
        <v>74.28</v>
      </c>
      <c r="L159" s="8">
        <v>923</v>
      </c>
      <c r="M159" s="8">
        <v>965.64</v>
      </c>
      <c r="N159">
        <v>28</v>
      </c>
      <c r="O159" t="s">
        <v>125</v>
      </c>
      <c r="P159" t="s">
        <v>119</v>
      </c>
    </row>
    <row r="160" spans="1:16" x14ac:dyDescent="0.25">
      <c r="A160" s="10">
        <v>45775</v>
      </c>
      <c r="B160" s="1" t="s">
        <v>11</v>
      </c>
      <c r="C160" s="2">
        <v>10</v>
      </c>
      <c r="D160" s="1" t="s">
        <v>12</v>
      </c>
      <c r="E160" s="1" t="s">
        <v>13</v>
      </c>
      <c r="F160" s="3">
        <v>0</v>
      </c>
      <c r="G160" s="1" t="s">
        <v>14</v>
      </c>
      <c r="H160" s="1" t="s">
        <v>15</v>
      </c>
      <c r="I160" s="1" t="s">
        <v>16</v>
      </c>
      <c r="J160" s="7">
        <v>7</v>
      </c>
      <c r="K160" s="7">
        <v>7.8</v>
      </c>
      <c r="L160" s="8">
        <v>70</v>
      </c>
      <c r="M160" s="8">
        <v>78</v>
      </c>
      <c r="N160">
        <v>28</v>
      </c>
      <c r="O160" t="s">
        <v>125</v>
      </c>
      <c r="P160" t="s">
        <v>119</v>
      </c>
    </row>
    <row r="161" spans="1:16" x14ac:dyDescent="0.25">
      <c r="A161" s="10">
        <v>45777</v>
      </c>
      <c r="B161" s="1" t="s">
        <v>44</v>
      </c>
      <c r="C161" s="2">
        <v>13</v>
      </c>
      <c r="D161" s="1" t="s">
        <v>13</v>
      </c>
      <c r="E161" s="1" t="s">
        <v>23</v>
      </c>
      <c r="F161" s="3">
        <v>0</v>
      </c>
      <c r="G161" s="1" t="s">
        <v>45</v>
      </c>
      <c r="H161" s="1" t="s">
        <v>15</v>
      </c>
      <c r="I161" s="1" t="s">
        <v>38</v>
      </c>
      <c r="J161" s="7">
        <v>110</v>
      </c>
      <c r="K161" s="7">
        <v>129.62</v>
      </c>
      <c r="L161" s="8">
        <v>1430</v>
      </c>
      <c r="M161" s="8">
        <v>1685.06</v>
      </c>
      <c r="N161">
        <v>30</v>
      </c>
      <c r="O161" t="s">
        <v>125</v>
      </c>
      <c r="P161" t="s">
        <v>119</v>
      </c>
    </row>
    <row r="162" spans="1:16" x14ac:dyDescent="0.25">
      <c r="A162" s="10">
        <v>45777</v>
      </c>
      <c r="B162" s="1" t="s">
        <v>72</v>
      </c>
      <c r="C162" s="2">
        <v>6</v>
      </c>
      <c r="D162" s="1" t="s">
        <v>18</v>
      </c>
      <c r="E162" s="1" t="s">
        <v>13</v>
      </c>
      <c r="F162" s="3">
        <v>0</v>
      </c>
      <c r="G162" s="1" t="s">
        <v>73</v>
      </c>
      <c r="H162" s="1" t="s">
        <v>33</v>
      </c>
      <c r="I162" s="1" t="s">
        <v>26</v>
      </c>
      <c r="J162" s="7">
        <v>67</v>
      </c>
      <c r="K162" s="7">
        <v>78.23</v>
      </c>
      <c r="L162" s="8">
        <v>402</v>
      </c>
      <c r="M162" s="8">
        <v>469.38</v>
      </c>
      <c r="N162">
        <v>30</v>
      </c>
      <c r="O162" t="s">
        <v>125</v>
      </c>
      <c r="P162" t="s">
        <v>119</v>
      </c>
    </row>
    <row r="163" spans="1:16" x14ac:dyDescent="0.25">
      <c r="A163" s="10">
        <v>45777</v>
      </c>
      <c r="B163" s="1" t="s">
        <v>86</v>
      </c>
      <c r="C163" s="2">
        <v>11</v>
      </c>
      <c r="D163" s="1" t="s">
        <v>13</v>
      </c>
      <c r="E163" s="1" t="s">
        <v>23</v>
      </c>
      <c r="F163" s="3">
        <v>0.05</v>
      </c>
      <c r="G163" s="1" t="s">
        <v>87</v>
      </c>
      <c r="H163" s="1" t="s">
        <v>20</v>
      </c>
      <c r="I163" s="1" t="s">
        <v>21</v>
      </c>
      <c r="J163" s="7">
        <v>53</v>
      </c>
      <c r="K163" s="7">
        <v>54.77</v>
      </c>
      <c r="L163" s="8">
        <v>583</v>
      </c>
      <c r="M163" s="8">
        <v>602.47</v>
      </c>
      <c r="N163">
        <v>30</v>
      </c>
      <c r="O163" t="s">
        <v>125</v>
      </c>
      <c r="P163" t="s">
        <v>119</v>
      </c>
    </row>
    <row r="164" spans="1:16" x14ac:dyDescent="0.25">
      <c r="A164" s="10">
        <v>45779</v>
      </c>
      <c r="B164" s="1" t="s">
        <v>27</v>
      </c>
      <c r="C164" s="2">
        <v>13</v>
      </c>
      <c r="D164" s="1" t="s">
        <v>12</v>
      </c>
      <c r="E164" s="1" t="s">
        <v>13</v>
      </c>
      <c r="F164" s="3">
        <v>0.08</v>
      </c>
      <c r="G164" s="1" t="s">
        <v>28</v>
      </c>
      <c r="H164" s="1" t="s">
        <v>25</v>
      </c>
      <c r="I164" s="1" t="s">
        <v>26</v>
      </c>
      <c r="J164" s="7">
        <v>47</v>
      </c>
      <c r="K164" s="7">
        <v>50.08</v>
      </c>
      <c r="L164" s="8">
        <v>611</v>
      </c>
      <c r="M164" s="8">
        <v>651.04</v>
      </c>
      <c r="N164">
        <v>2</v>
      </c>
      <c r="O164" t="s">
        <v>120</v>
      </c>
      <c r="P164" t="s">
        <v>119</v>
      </c>
    </row>
    <row r="165" spans="1:16" x14ac:dyDescent="0.25">
      <c r="A165" s="10">
        <v>45780</v>
      </c>
      <c r="B165" s="1" t="s">
        <v>17</v>
      </c>
      <c r="C165" s="2">
        <v>11</v>
      </c>
      <c r="D165" s="1" t="s">
        <v>18</v>
      </c>
      <c r="E165" s="1" t="s">
        <v>13</v>
      </c>
      <c r="F165" s="3">
        <v>0.05</v>
      </c>
      <c r="G165" s="1" t="s">
        <v>19</v>
      </c>
      <c r="H165" s="1" t="s">
        <v>20</v>
      </c>
      <c r="I165" s="1" t="s">
        <v>21</v>
      </c>
      <c r="J165" s="7">
        <v>48</v>
      </c>
      <c r="K165" s="7">
        <v>51.97</v>
      </c>
      <c r="L165" s="8">
        <v>528</v>
      </c>
      <c r="M165" s="8">
        <v>571.66999999999996</v>
      </c>
      <c r="N165">
        <v>3</v>
      </c>
      <c r="O165" t="s">
        <v>120</v>
      </c>
      <c r="P165" t="s">
        <v>119</v>
      </c>
    </row>
    <row r="166" spans="1:16" x14ac:dyDescent="0.25">
      <c r="A166" s="10">
        <v>45780</v>
      </c>
      <c r="B166" s="1" t="s">
        <v>98</v>
      </c>
      <c r="C166" s="2">
        <v>4</v>
      </c>
      <c r="D166" s="1" t="s">
        <v>13</v>
      </c>
      <c r="E166" s="1" t="s">
        <v>13</v>
      </c>
      <c r="F166" s="3">
        <v>0</v>
      </c>
      <c r="G166" s="1" t="s">
        <v>99</v>
      </c>
      <c r="H166" s="1" t="s">
        <v>43</v>
      </c>
      <c r="I166" s="1" t="s">
        <v>21</v>
      </c>
      <c r="J166" s="7">
        <v>44</v>
      </c>
      <c r="K166" s="7">
        <v>50.21</v>
      </c>
      <c r="L166" s="8">
        <v>176</v>
      </c>
      <c r="M166" s="8">
        <v>200.84</v>
      </c>
      <c r="N166">
        <v>3</v>
      </c>
      <c r="O166" t="s">
        <v>120</v>
      </c>
      <c r="P166" t="s">
        <v>119</v>
      </c>
    </row>
    <row r="167" spans="1:16" x14ac:dyDescent="0.25">
      <c r="A167" s="10">
        <v>45781</v>
      </c>
      <c r="B167" s="1" t="s">
        <v>31</v>
      </c>
      <c r="C167" s="2">
        <v>8</v>
      </c>
      <c r="D167" s="1" t="s">
        <v>18</v>
      </c>
      <c r="E167" s="1" t="s">
        <v>13</v>
      </c>
      <c r="F167" s="3">
        <v>0</v>
      </c>
      <c r="G167" s="1" t="s">
        <v>32</v>
      </c>
      <c r="H167" s="1" t="s">
        <v>33</v>
      </c>
      <c r="I167" s="1" t="s">
        <v>21</v>
      </c>
      <c r="J167" s="7">
        <v>63</v>
      </c>
      <c r="K167" s="7">
        <v>68.150000000000006</v>
      </c>
      <c r="L167" s="8">
        <v>504</v>
      </c>
      <c r="M167" s="8">
        <v>545.20000000000005</v>
      </c>
      <c r="N167">
        <v>4</v>
      </c>
      <c r="O167" t="s">
        <v>120</v>
      </c>
      <c r="P167" t="s">
        <v>119</v>
      </c>
    </row>
    <row r="168" spans="1:16" x14ac:dyDescent="0.25">
      <c r="A168" s="10">
        <v>45781</v>
      </c>
      <c r="B168" s="1" t="s">
        <v>82</v>
      </c>
      <c r="C168" s="2">
        <v>11</v>
      </c>
      <c r="D168" s="1" t="s">
        <v>13</v>
      </c>
      <c r="E168" s="1" t="s">
        <v>13</v>
      </c>
      <c r="F168" s="3">
        <v>0</v>
      </c>
      <c r="G168" s="1" t="s">
        <v>83</v>
      </c>
      <c r="H168" s="1" t="s">
        <v>33</v>
      </c>
      <c r="I168" s="1" t="s">
        <v>16</v>
      </c>
      <c r="J168" s="7">
        <v>11</v>
      </c>
      <c r="K168" s="7">
        <v>12.27</v>
      </c>
      <c r="L168" s="8">
        <v>121</v>
      </c>
      <c r="M168" s="8">
        <v>134.97</v>
      </c>
      <c r="N168">
        <v>4</v>
      </c>
      <c r="O168" t="s">
        <v>120</v>
      </c>
      <c r="P168" t="s">
        <v>119</v>
      </c>
    </row>
    <row r="169" spans="1:16" x14ac:dyDescent="0.25">
      <c r="A169" s="10">
        <v>45782</v>
      </c>
      <c r="B169" s="1" t="s">
        <v>98</v>
      </c>
      <c r="C169" s="2">
        <v>11</v>
      </c>
      <c r="D169" s="1" t="s">
        <v>12</v>
      </c>
      <c r="E169" s="1" t="s">
        <v>23</v>
      </c>
      <c r="F169" s="3">
        <v>0.05</v>
      </c>
      <c r="G169" s="1" t="s">
        <v>99</v>
      </c>
      <c r="H169" s="1" t="s">
        <v>43</v>
      </c>
      <c r="I169" s="1" t="s">
        <v>21</v>
      </c>
      <c r="J169" s="7">
        <v>44</v>
      </c>
      <c r="K169" s="7">
        <v>46.52</v>
      </c>
      <c r="L169" s="8">
        <v>484</v>
      </c>
      <c r="M169" s="8">
        <v>511.72</v>
      </c>
      <c r="N169">
        <v>5</v>
      </c>
      <c r="O169" t="s">
        <v>120</v>
      </c>
      <c r="P169" t="s">
        <v>119</v>
      </c>
    </row>
    <row r="170" spans="1:16" x14ac:dyDescent="0.25">
      <c r="A170" s="10">
        <v>45784</v>
      </c>
      <c r="B170" s="1" t="s">
        <v>46</v>
      </c>
      <c r="C170" s="2">
        <v>9</v>
      </c>
      <c r="D170" s="1" t="s">
        <v>13</v>
      </c>
      <c r="E170" s="1" t="s">
        <v>13</v>
      </c>
      <c r="F170" s="3">
        <v>0</v>
      </c>
      <c r="G170" s="1" t="s">
        <v>47</v>
      </c>
      <c r="H170" s="1" t="s">
        <v>15</v>
      </c>
      <c r="I170" s="1" t="s">
        <v>16</v>
      </c>
      <c r="J170" s="7">
        <v>8</v>
      </c>
      <c r="K170" s="7">
        <v>9.1999999999999993</v>
      </c>
      <c r="L170" s="8">
        <v>72</v>
      </c>
      <c r="M170" s="8">
        <v>82.8</v>
      </c>
      <c r="N170">
        <v>7</v>
      </c>
      <c r="O170" t="s">
        <v>120</v>
      </c>
      <c r="P170" t="s">
        <v>119</v>
      </c>
    </row>
    <row r="171" spans="1:16" x14ac:dyDescent="0.25">
      <c r="A171" s="10">
        <v>45784</v>
      </c>
      <c r="B171" s="1" t="s">
        <v>56</v>
      </c>
      <c r="C171" s="2">
        <v>6</v>
      </c>
      <c r="D171" s="1" t="s">
        <v>13</v>
      </c>
      <c r="E171" s="1" t="s">
        <v>23</v>
      </c>
      <c r="F171" s="3">
        <v>0</v>
      </c>
      <c r="G171" s="1" t="s">
        <v>57</v>
      </c>
      <c r="H171" s="1" t="s">
        <v>20</v>
      </c>
      <c r="I171" s="1" t="s">
        <v>26</v>
      </c>
      <c r="J171" s="7">
        <v>79</v>
      </c>
      <c r="K171" s="7">
        <v>91.05</v>
      </c>
      <c r="L171" s="8">
        <v>474</v>
      </c>
      <c r="M171" s="8">
        <v>546.29999999999995</v>
      </c>
      <c r="N171">
        <v>7</v>
      </c>
      <c r="O171" t="s">
        <v>120</v>
      </c>
      <c r="P171" t="s">
        <v>119</v>
      </c>
    </row>
    <row r="172" spans="1:16" x14ac:dyDescent="0.25">
      <c r="A172" s="10">
        <v>45784</v>
      </c>
      <c r="B172" s="1" t="s">
        <v>88</v>
      </c>
      <c r="C172" s="2">
        <v>7</v>
      </c>
      <c r="D172" s="1" t="s">
        <v>18</v>
      </c>
      <c r="E172" s="1" t="s">
        <v>13</v>
      </c>
      <c r="F172" s="3">
        <v>0</v>
      </c>
      <c r="G172" s="1" t="s">
        <v>89</v>
      </c>
      <c r="H172" s="1" t="s">
        <v>33</v>
      </c>
      <c r="I172" s="1" t="s">
        <v>26</v>
      </c>
      <c r="J172" s="7">
        <v>76</v>
      </c>
      <c r="K172" s="7">
        <v>84.93</v>
      </c>
      <c r="L172" s="8">
        <v>532</v>
      </c>
      <c r="M172" s="8">
        <v>594.51</v>
      </c>
      <c r="N172">
        <v>7</v>
      </c>
      <c r="O172" t="s">
        <v>120</v>
      </c>
      <c r="P172" t="s">
        <v>119</v>
      </c>
    </row>
    <row r="173" spans="1:16" x14ac:dyDescent="0.25">
      <c r="A173" s="10">
        <v>45785</v>
      </c>
      <c r="B173" s="1" t="s">
        <v>82</v>
      </c>
      <c r="C173" s="2">
        <v>2</v>
      </c>
      <c r="D173" s="1" t="s">
        <v>13</v>
      </c>
      <c r="E173" s="1" t="s">
        <v>13</v>
      </c>
      <c r="F173" s="3">
        <v>0</v>
      </c>
      <c r="G173" s="1" t="s">
        <v>83</v>
      </c>
      <c r="H173" s="1" t="s">
        <v>33</v>
      </c>
      <c r="I173" s="1" t="s">
        <v>16</v>
      </c>
      <c r="J173" s="7">
        <v>11</v>
      </c>
      <c r="K173" s="7">
        <v>12.7</v>
      </c>
      <c r="L173" s="8">
        <v>22</v>
      </c>
      <c r="M173" s="8">
        <v>25.4</v>
      </c>
      <c r="N173">
        <v>8</v>
      </c>
      <c r="O173" t="s">
        <v>120</v>
      </c>
      <c r="P173" t="s">
        <v>119</v>
      </c>
    </row>
    <row r="174" spans="1:16" x14ac:dyDescent="0.25">
      <c r="A174" s="10">
        <v>45785</v>
      </c>
      <c r="B174" s="1" t="s">
        <v>31</v>
      </c>
      <c r="C174" s="2">
        <v>2</v>
      </c>
      <c r="D174" s="1" t="s">
        <v>13</v>
      </c>
      <c r="E174" s="1" t="s">
        <v>23</v>
      </c>
      <c r="F174" s="3">
        <v>0</v>
      </c>
      <c r="G174" s="1" t="s">
        <v>32</v>
      </c>
      <c r="H174" s="1" t="s">
        <v>33</v>
      </c>
      <c r="I174" s="1" t="s">
        <v>21</v>
      </c>
      <c r="J174" s="7">
        <v>63</v>
      </c>
      <c r="K174" s="7">
        <v>68.34</v>
      </c>
      <c r="L174" s="8">
        <v>126</v>
      </c>
      <c r="M174" s="8">
        <v>136.68</v>
      </c>
      <c r="N174">
        <v>8</v>
      </c>
      <c r="O174" t="s">
        <v>120</v>
      </c>
      <c r="P174" t="s">
        <v>119</v>
      </c>
    </row>
    <row r="175" spans="1:16" x14ac:dyDescent="0.25">
      <c r="A175" s="10">
        <v>45786</v>
      </c>
      <c r="B175" s="1" t="s">
        <v>88</v>
      </c>
      <c r="C175" s="2">
        <v>13</v>
      </c>
      <c r="D175" s="1" t="s">
        <v>18</v>
      </c>
      <c r="E175" s="1" t="s">
        <v>23</v>
      </c>
      <c r="F175" s="3">
        <v>0</v>
      </c>
      <c r="G175" s="1" t="s">
        <v>89</v>
      </c>
      <c r="H175" s="1" t="s">
        <v>33</v>
      </c>
      <c r="I175" s="1" t="s">
        <v>26</v>
      </c>
      <c r="J175" s="7">
        <v>76</v>
      </c>
      <c r="K175" s="7">
        <v>88.95</v>
      </c>
      <c r="L175" s="8">
        <v>988</v>
      </c>
      <c r="M175" s="8">
        <v>1156.3500000000001</v>
      </c>
      <c r="N175">
        <v>9</v>
      </c>
      <c r="O175" t="s">
        <v>120</v>
      </c>
      <c r="P175" t="s">
        <v>119</v>
      </c>
    </row>
    <row r="176" spans="1:16" x14ac:dyDescent="0.25">
      <c r="A176" s="10">
        <v>45787</v>
      </c>
      <c r="B176" s="1" t="s">
        <v>36</v>
      </c>
      <c r="C176" s="2">
        <v>5</v>
      </c>
      <c r="D176" s="1" t="s">
        <v>18</v>
      </c>
      <c r="E176" s="1" t="s">
        <v>23</v>
      </c>
      <c r="F176" s="3">
        <v>0</v>
      </c>
      <c r="G176" s="1" t="s">
        <v>37</v>
      </c>
      <c r="H176" s="1" t="s">
        <v>15</v>
      </c>
      <c r="I176" s="1" t="s">
        <v>38</v>
      </c>
      <c r="J176" s="7">
        <v>141</v>
      </c>
      <c r="K176" s="7">
        <v>158</v>
      </c>
      <c r="L176" s="8">
        <v>705</v>
      </c>
      <c r="M176" s="8">
        <v>790</v>
      </c>
      <c r="N176">
        <v>10</v>
      </c>
      <c r="O176" t="s">
        <v>120</v>
      </c>
      <c r="P176" t="s">
        <v>119</v>
      </c>
    </row>
    <row r="177" spans="1:16" x14ac:dyDescent="0.25">
      <c r="A177" s="10">
        <v>45788</v>
      </c>
      <c r="B177" s="1" t="s">
        <v>100</v>
      </c>
      <c r="C177" s="2">
        <v>15</v>
      </c>
      <c r="D177" s="1" t="s">
        <v>18</v>
      </c>
      <c r="E177" s="1" t="s">
        <v>23</v>
      </c>
      <c r="F177" s="3">
        <v>0</v>
      </c>
      <c r="G177" s="1" t="s">
        <v>101</v>
      </c>
      <c r="H177" s="1" t="s">
        <v>25</v>
      </c>
      <c r="I177" s="1" t="s">
        <v>26</v>
      </c>
      <c r="J177" s="7">
        <v>88</v>
      </c>
      <c r="K177" s="7">
        <v>99.52</v>
      </c>
      <c r="L177" s="8">
        <v>1320</v>
      </c>
      <c r="M177" s="8">
        <v>1492.8</v>
      </c>
      <c r="N177">
        <v>11</v>
      </c>
      <c r="O177" t="s">
        <v>120</v>
      </c>
      <c r="P177" t="s">
        <v>119</v>
      </c>
    </row>
    <row r="178" spans="1:16" x14ac:dyDescent="0.25">
      <c r="A178" s="10">
        <v>45790</v>
      </c>
      <c r="B178" s="1" t="s">
        <v>62</v>
      </c>
      <c r="C178" s="2">
        <v>14</v>
      </c>
      <c r="D178" s="1" t="s">
        <v>18</v>
      </c>
      <c r="E178" s="1" t="s">
        <v>13</v>
      </c>
      <c r="F178" s="3">
        <v>0</v>
      </c>
      <c r="G178" s="1" t="s">
        <v>63</v>
      </c>
      <c r="H178" s="1" t="s">
        <v>15</v>
      </c>
      <c r="I178" s="1" t="s">
        <v>38</v>
      </c>
      <c r="J178" s="7">
        <v>95</v>
      </c>
      <c r="K178" s="7">
        <v>105.21</v>
      </c>
      <c r="L178" s="8">
        <v>1330</v>
      </c>
      <c r="M178" s="8">
        <v>1472.9399999999998</v>
      </c>
      <c r="N178">
        <v>13</v>
      </c>
      <c r="O178" t="s">
        <v>120</v>
      </c>
      <c r="P178" t="s">
        <v>119</v>
      </c>
    </row>
    <row r="179" spans="1:16" x14ac:dyDescent="0.25">
      <c r="A179" s="10">
        <v>45790</v>
      </c>
      <c r="B179" s="1" t="s">
        <v>27</v>
      </c>
      <c r="C179" s="2">
        <v>6</v>
      </c>
      <c r="D179" s="1" t="s">
        <v>13</v>
      </c>
      <c r="E179" s="1" t="s">
        <v>13</v>
      </c>
      <c r="F179" s="3">
        <v>0</v>
      </c>
      <c r="G179" s="1" t="s">
        <v>28</v>
      </c>
      <c r="H179" s="1" t="s">
        <v>25</v>
      </c>
      <c r="I179" s="1" t="s">
        <v>26</v>
      </c>
      <c r="J179" s="7">
        <v>47</v>
      </c>
      <c r="K179" s="7">
        <v>51.31</v>
      </c>
      <c r="L179" s="8">
        <v>282</v>
      </c>
      <c r="M179" s="8">
        <v>307.86</v>
      </c>
      <c r="N179">
        <v>13</v>
      </c>
      <c r="O179" t="s">
        <v>120</v>
      </c>
      <c r="P179" t="s">
        <v>119</v>
      </c>
    </row>
    <row r="180" spans="1:16" x14ac:dyDescent="0.25">
      <c r="A180" s="10">
        <v>45792</v>
      </c>
      <c r="B180" s="1" t="s">
        <v>112</v>
      </c>
      <c r="C180" s="2">
        <v>13</v>
      </c>
      <c r="D180" s="1" t="s">
        <v>13</v>
      </c>
      <c r="E180" s="1" t="s">
        <v>23</v>
      </c>
      <c r="F180" s="3">
        <v>0</v>
      </c>
      <c r="G180" s="1" t="s">
        <v>113</v>
      </c>
      <c r="H180" s="1" t="s">
        <v>20</v>
      </c>
      <c r="I180" s="1" t="s">
        <v>16</v>
      </c>
      <c r="J180" s="7">
        <v>9</v>
      </c>
      <c r="K180" s="7">
        <v>9.99</v>
      </c>
      <c r="L180" s="8">
        <v>117</v>
      </c>
      <c r="M180" s="8">
        <v>129.87</v>
      </c>
      <c r="N180">
        <v>15</v>
      </c>
      <c r="O180" t="s">
        <v>120</v>
      </c>
      <c r="P180" t="s">
        <v>119</v>
      </c>
    </row>
    <row r="181" spans="1:16" x14ac:dyDescent="0.25">
      <c r="A181" s="10">
        <v>45793</v>
      </c>
      <c r="B181" s="1" t="s">
        <v>102</v>
      </c>
      <c r="C181" s="2">
        <v>13</v>
      </c>
      <c r="D181" s="1" t="s">
        <v>13</v>
      </c>
      <c r="E181" s="1" t="s">
        <v>23</v>
      </c>
      <c r="F181" s="3">
        <v>0</v>
      </c>
      <c r="G181" s="1" t="s">
        <v>103</v>
      </c>
      <c r="H181" s="1" t="s">
        <v>15</v>
      </c>
      <c r="I181" s="1" t="s">
        <v>38</v>
      </c>
      <c r="J181" s="7">
        <v>144</v>
      </c>
      <c r="K181" s="7">
        <v>163.72999999999999</v>
      </c>
      <c r="L181" s="8">
        <v>1872</v>
      </c>
      <c r="M181" s="8">
        <v>2128.4899999999998</v>
      </c>
      <c r="N181">
        <v>16</v>
      </c>
      <c r="O181" t="s">
        <v>120</v>
      </c>
      <c r="P181" t="s">
        <v>119</v>
      </c>
    </row>
    <row r="182" spans="1:16" x14ac:dyDescent="0.25">
      <c r="A182" s="10">
        <v>45794</v>
      </c>
      <c r="B182" s="1" t="s">
        <v>84</v>
      </c>
      <c r="C182" s="2">
        <v>6</v>
      </c>
      <c r="D182" s="1" t="s">
        <v>13</v>
      </c>
      <c r="E182" s="1" t="s">
        <v>13</v>
      </c>
      <c r="F182" s="3">
        <v>0</v>
      </c>
      <c r="G182" s="1" t="s">
        <v>85</v>
      </c>
      <c r="H182" s="1" t="s">
        <v>33</v>
      </c>
      <c r="I182" s="1" t="s">
        <v>38</v>
      </c>
      <c r="J182" s="7">
        <v>120</v>
      </c>
      <c r="K182" s="7">
        <v>129.63999999999999</v>
      </c>
      <c r="L182" s="8">
        <v>720</v>
      </c>
      <c r="M182" s="8">
        <v>777.83999999999992</v>
      </c>
      <c r="N182">
        <v>17</v>
      </c>
      <c r="O182" t="s">
        <v>120</v>
      </c>
      <c r="P182" t="s">
        <v>119</v>
      </c>
    </row>
    <row r="183" spans="1:16" x14ac:dyDescent="0.25">
      <c r="A183" s="10">
        <v>45794</v>
      </c>
      <c r="B183" s="1" t="s">
        <v>76</v>
      </c>
      <c r="C183" s="2">
        <v>2</v>
      </c>
      <c r="D183" s="1" t="s">
        <v>13</v>
      </c>
      <c r="E183" s="1" t="s">
        <v>13</v>
      </c>
      <c r="F183" s="3">
        <v>0</v>
      </c>
      <c r="G183" s="1" t="s">
        <v>77</v>
      </c>
      <c r="H183" s="1" t="s">
        <v>25</v>
      </c>
      <c r="I183" s="1" t="s">
        <v>26</v>
      </c>
      <c r="J183" s="7">
        <v>105</v>
      </c>
      <c r="K183" s="7">
        <v>122.05</v>
      </c>
      <c r="L183" s="8">
        <v>210</v>
      </c>
      <c r="M183" s="8">
        <v>244.1</v>
      </c>
      <c r="N183">
        <v>17</v>
      </c>
      <c r="O183" t="s">
        <v>120</v>
      </c>
      <c r="P183" t="s">
        <v>119</v>
      </c>
    </row>
    <row r="184" spans="1:16" x14ac:dyDescent="0.25">
      <c r="A184" s="10">
        <v>45794</v>
      </c>
      <c r="B184" s="1" t="s">
        <v>74</v>
      </c>
      <c r="C184" s="2">
        <v>4</v>
      </c>
      <c r="D184" s="1" t="s">
        <v>13</v>
      </c>
      <c r="E184" s="1" t="s">
        <v>23</v>
      </c>
      <c r="F184" s="3">
        <v>0</v>
      </c>
      <c r="G184" s="1" t="s">
        <v>75</v>
      </c>
      <c r="H184" s="1" t="s">
        <v>20</v>
      </c>
      <c r="I184" s="1" t="s">
        <v>21</v>
      </c>
      <c r="J184" s="7">
        <v>47</v>
      </c>
      <c r="K184" s="7">
        <v>52.57</v>
      </c>
      <c r="L184" s="8">
        <v>188</v>
      </c>
      <c r="M184" s="8">
        <v>210.28</v>
      </c>
      <c r="N184">
        <v>17</v>
      </c>
      <c r="O184" t="s">
        <v>120</v>
      </c>
      <c r="P184" t="s">
        <v>119</v>
      </c>
    </row>
    <row r="185" spans="1:16" x14ac:dyDescent="0.25">
      <c r="A185" s="10">
        <v>45795</v>
      </c>
      <c r="B185" s="1" t="s">
        <v>72</v>
      </c>
      <c r="C185" s="2">
        <v>1</v>
      </c>
      <c r="D185" s="1" t="s">
        <v>18</v>
      </c>
      <c r="E185" s="1" t="s">
        <v>23</v>
      </c>
      <c r="F185" s="3">
        <v>0</v>
      </c>
      <c r="G185" s="1" t="s">
        <v>73</v>
      </c>
      <c r="H185" s="1" t="s">
        <v>33</v>
      </c>
      <c r="I185" s="1" t="s">
        <v>26</v>
      </c>
      <c r="J185" s="7">
        <v>67</v>
      </c>
      <c r="K185" s="7">
        <v>76.73</v>
      </c>
      <c r="L185" s="8">
        <v>67</v>
      </c>
      <c r="M185" s="8">
        <v>76.73</v>
      </c>
      <c r="N185">
        <v>18</v>
      </c>
      <c r="O185" t="s">
        <v>120</v>
      </c>
      <c r="P185" t="s">
        <v>119</v>
      </c>
    </row>
    <row r="186" spans="1:16" x14ac:dyDescent="0.25">
      <c r="A186" s="10">
        <v>45795</v>
      </c>
      <c r="B186" s="1" t="s">
        <v>72</v>
      </c>
      <c r="C186" s="2">
        <v>1</v>
      </c>
      <c r="D186" s="1" t="s">
        <v>13</v>
      </c>
      <c r="E186" s="1" t="s">
        <v>23</v>
      </c>
      <c r="F186" s="3">
        <v>0.05</v>
      </c>
      <c r="G186" s="1" t="s">
        <v>73</v>
      </c>
      <c r="H186" s="1" t="s">
        <v>33</v>
      </c>
      <c r="I186" s="1" t="s">
        <v>26</v>
      </c>
      <c r="J186" s="7">
        <v>67</v>
      </c>
      <c r="K186" s="7">
        <v>73.88</v>
      </c>
      <c r="L186" s="8">
        <v>67</v>
      </c>
      <c r="M186" s="8">
        <v>73.88</v>
      </c>
      <c r="N186">
        <v>18</v>
      </c>
      <c r="O186" t="s">
        <v>120</v>
      </c>
      <c r="P186" t="s">
        <v>119</v>
      </c>
    </row>
    <row r="187" spans="1:16" x14ac:dyDescent="0.25">
      <c r="A187" s="10">
        <v>45796</v>
      </c>
      <c r="B187" s="1" t="s">
        <v>50</v>
      </c>
      <c r="C187" s="2">
        <v>12</v>
      </c>
      <c r="D187" s="1" t="s">
        <v>13</v>
      </c>
      <c r="E187" s="1" t="s">
        <v>23</v>
      </c>
      <c r="F187" s="3">
        <v>0</v>
      </c>
      <c r="G187" s="1" t="s">
        <v>51</v>
      </c>
      <c r="H187" s="1" t="s">
        <v>33</v>
      </c>
      <c r="I187" s="1" t="s">
        <v>26</v>
      </c>
      <c r="J187" s="7">
        <v>102</v>
      </c>
      <c r="K187" s="7">
        <v>116.15</v>
      </c>
      <c r="L187" s="8">
        <v>1224</v>
      </c>
      <c r="M187" s="8">
        <v>1393.8000000000002</v>
      </c>
      <c r="N187">
        <v>19</v>
      </c>
      <c r="O187" t="s">
        <v>120</v>
      </c>
      <c r="P187" t="s">
        <v>119</v>
      </c>
    </row>
    <row r="188" spans="1:16" x14ac:dyDescent="0.25">
      <c r="A188" s="10">
        <v>45797</v>
      </c>
      <c r="B188" s="1" t="s">
        <v>110</v>
      </c>
      <c r="C188" s="2">
        <v>13</v>
      </c>
      <c r="D188" s="1" t="s">
        <v>13</v>
      </c>
      <c r="E188" s="1" t="s">
        <v>23</v>
      </c>
      <c r="F188" s="3">
        <v>0</v>
      </c>
      <c r="G188" s="1" t="s">
        <v>111</v>
      </c>
      <c r="H188" s="1" t="s">
        <v>25</v>
      </c>
      <c r="I188" s="1" t="s">
        <v>26</v>
      </c>
      <c r="J188" s="7">
        <v>112</v>
      </c>
      <c r="K188" s="7">
        <v>128.22</v>
      </c>
      <c r="L188" s="8">
        <v>1456</v>
      </c>
      <c r="M188" s="8">
        <v>1666.86</v>
      </c>
      <c r="N188">
        <v>20</v>
      </c>
      <c r="O188" t="s">
        <v>120</v>
      </c>
      <c r="P188" t="s">
        <v>119</v>
      </c>
    </row>
    <row r="189" spans="1:16" x14ac:dyDescent="0.25">
      <c r="A189" s="10">
        <v>45799</v>
      </c>
      <c r="B189" s="1" t="s">
        <v>50</v>
      </c>
      <c r="C189" s="2">
        <v>1</v>
      </c>
      <c r="D189" s="1" t="s">
        <v>18</v>
      </c>
      <c r="E189" s="1" t="s">
        <v>23</v>
      </c>
      <c r="F189" s="3">
        <v>0.05</v>
      </c>
      <c r="G189" s="1" t="s">
        <v>51</v>
      </c>
      <c r="H189" s="1" t="s">
        <v>33</v>
      </c>
      <c r="I189" s="1" t="s">
        <v>26</v>
      </c>
      <c r="J189" s="7">
        <v>102</v>
      </c>
      <c r="K189" s="7">
        <v>109.38</v>
      </c>
      <c r="L189" s="8">
        <v>102</v>
      </c>
      <c r="M189" s="8">
        <v>109.38</v>
      </c>
      <c r="N189">
        <v>22</v>
      </c>
      <c r="O189" t="s">
        <v>120</v>
      </c>
      <c r="P189" t="s">
        <v>119</v>
      </c>
    </row>
    <row r="190" spans="1:16" x14ac:dyDescent="0.25">
      <c r="A190" s="10">
        <v>45799</v>
      </c>
      <c r="B190" s="1" t="s">
        <v>84</v>
      </c>
      <c r="C190" s="2">
        <v>3</v>
      </c>
      <c r="D190" s="1" t="s">
        <v>18</v>
      </c>
      <c r="E190" s="1" t="s">
        <v>23</v>
      </c>
      <c r="F190" s="3">
        <v>0</v>
      </c>
      <c r="G190" s="1" t="s">
        <v>85</v>
      </c>
      <c r="H190" s="1" t="s">
        <v>33</v>
      </c>
      <c r="I190" s="1" t="s">
        <v>38</v>
      </c>
      <c r="J190" s="7">
        <v>120</v>
      </c>
      <c r="K190" s="7">
        <v>138.13999999999999</v>
      </c>
      <c r="L190" s="8">
        <v>360</v>
      </c>
      <c r="M190" s="8">
        <v>414.41999999999996</v>
      </c>
      <c r="N190">
        <v>22</v>
      </c>
      <c r="O190" t="s">
        <v>120</v>
      </c>
      <c r="P190" t="s">
        <v>119</v>
      </c>
    </row>
    <row r="191" spans="1:16" x14ac:dyDescent="0.25">
      <c r="A191" s="10">
        <v>45800</v>
      </c>
      <c r="B191" s="1" t="s">
        <v>70</v>
      </c>
      <c r="C191" s="2">
        <v>13</v>
      </c>
      <c r="D191" s="1" t="s">
        <v>13</v>
      </c>
      <c r="E191" s="1" t="s">
        <v>13</v>
      </c>
      <c r="F191" s="3">
        <v>0</v>
      </c>
      <c r="G191" s="1" t="s">
        <v>71</v>
      </c>
      <c r="H191" s="1" t="s">
        <v>43</v>
      </c>
      <c r="I191" s="1" t="s">
        <v>21</v>
      </c>
      <c r="J191" s="7">
        <v>52</v>
      </c>
      <c r="K191" s="7">
        <v>60.55</v>
      </c>
      <c r="L191" s="8">
        <v>676</v>
      </c>
      <c r="M191" s="8">
        <v>787.15</v>
      </c>
      <c r="N191">
        <v>23</v>
      </c>
      <c r="O191" t="s">
        <v>120</v>
      </c>
      <c r="P191" t="s">
        <v>119</v>
      </c>
    </row>
    <row r="192" spans="1:16" x14ac:dyDescent="0.25">
      <c r="A192" s="10">
        <v>45800</v>
      </c>
      <c r="B192" s="1" t="s">
        <v>52</v>
      </c>
      <c r="C192" s="2">
        <v>10</v>
      </c>
      <c r="D192" s="1" t="s">
        <v>13</v>
      </c>
      <c r="E192" s="1" t="s">
        <v>13</v>
      </c>
      <c r="F192" s="3">
        <v>0</v>
      </c>
      <c r="G192" s="1" t="s">
        <v>53</v>
      </c>
      <c r="H192" s="1" t="s">
        <v>25</v>
      </c>
      <c r="I192" s="1" t="s">
        <v>21</v>
      </c>
      <c r="J192" s="7">
        <v>58</v>
      </c>
      <c r="K192" s="7">
        <v>65.37</v>
      </c>
      <c r="L192" s="8">
        <v>580</v>
      </c>
      <c r="M192" s="8">
        <v>653.70000000000005</v>
      </c>
      <c r="N192">
        <v>23</v>
      </c>
      <c r="O192" t="s">
        <v>120</v>
      </c>
      <c r="P192" t="s">
        <v>119</v>
      </c>
    </row>
    <row r="193" spans="1:16" x14ac:dyDescent="0.25">
      <c r="A193" s="10">
        <v>45801</v>
      </c>
      <c r="B193" s="1" t="s">
        <v>104</v>
      </c>
      <c r="C193" s="2">
        <v>11</v>
      </c>
      <c r="D193" s="1" t="s">
        <v>18</v>
      </c>
      <c r="E193" s="1" t="s">
        <v>23</v>
      </c>
      <c r="F193" s="3">
        <v>0</v>
      </c>
      <c r="G193" s="1" t="s">
        <v>105</v>
      </c>
      <c r="H193" s="1" t="s">
        <v>33</v>
      </c>
      <c r="I193" s="1" t="s">
        <v>26</v>
      </c>
      <c r="J193" s="7">
        <v>90</v>
      </c>
      <c r="K193" s="7">
        <v>100.75</v>
      </c>
      <c r="L193" s="8">
        <v>990</v>
      </c>
      <c r="M193" s="8">
        <v>1108.25</v>
      </c>
      <c r="N193">
        <v>24</v>
      </c>
      <c r="O193" t="s">
        <v>120</v>
      </c>
      <c r="P193" t="s">
        <v>119</v>
      </c>
    </row>
    <row r="194" spans="1:16" x14ac:dyDescent="0.25">
      <c r="A194" s="10">
        <v>45801</v>
      </c>
      <c r="B194" s="1" t="s">
        <v>98</v>
      </c>
      <c r="C194" s="2">
        <v>13</v>
      </c>
      <c r="D194" s="1" t="s">
        <v>12</v>
      </c>
      <c r="E194" s="1" t="s">
        <v>13</v>
      </c>
      <c r="F194" s="3">
        <v>0</v>
      </c>
      <c r="G194" s="1" t="s">
        <v>99</v>
      </c>
      <c r="H194" s="1" t="s">
        <v>43</v>
      </c>
      <c r="I194" s="1" t="s">
        <v>21</v>
      </c>
      <c r="J194" s="7">
        <v>44</v>
      </c>
      <c r="K194" s="7">
        <v>51.81</v>
      </c>
      <c r="L194" s="8">
        <v>572</v>
      </c>
      <c r="M194" s="8">
        <v>673.53</v>
      </c>
      <c r="N194">
        <v>24</v>
      </c>
      <c r="O194" t="s">
        <v>120</v>
      </c>
      <c r="P194" t="s">
        <v>119</v>
      </c>
    </row>
    <row r="195" spans="1:16" x14ac:dyDescent="0.25">
      <c r="A195" s="10">
        <v>45805</v>
      </c>
      <c r="B195" s="1" t="s">
        <v>74</v>
      </c>
      <c r="C195" s="2">
        <v>2</v>
      </c>
      <c r="D195" s="1" t="s">
        <v>18</v>
      </c>
      <c r="E195" s="1" t="s">
        <v>13</v>
      </c>
      <c r="F195" s="3">
        <v>0</v>
      </c>
      <c r="G195" s="1" t="s">
        <v>75</v>
      </c>
      <c r="H195" s="1" t="s">
        <v>20</v>
      </c>
      <c r="I195" s="1" t="s">
        <v>21</v>
      </c>
      <c r="J195" s="7">
        <v>47</v>
      </c>
      <c r="K195" s="7">
        <v>55.19</v>
      </c>
      <c r="L195" s="8">
        <v>94</v>
      </c>
      <c r="M195" s="8">
        <v>110.38</v>
      </c>
      <c r="N195">
        <v>28</v>
      </c>
      <c r="O195" t="s">
        <v>120</v>
      </c>
      <c r="P195" t="s">
        <v>119</v>
      </c>
    </row>
    <row r="196" spans="1:16" x14ac:dyDescent="0.25">
      <c r="A196" s="10">
        <v>45805</v>
      </c>
      <c r="B196" s="1" t="s">
        <v>82</v>
      </c>
      <c r="C196" s="2">
        <v>7</v>
      </c>
      <c r="D196" s="1" t="s">
        <v>12</v>
      </c>
      <c r="E196" s="1" t="s">
        <v>23</v>
      </c>
      <c r="F196" s="3">
        <v>0</v>
      </c>
      <c r="G196" s="1" t="s">
        <v>83</v>
      </c>
      <c r="H196" s="1" t="s">
        <v>33</v>
      </c>
      <c r="I196" s="1" t="s">
        <v>16</v>
      </c>
      <c r="J196" s="7">
        <v>11</v>
      </c>
      <c r="K196" s="7">
        <v>12.24</v>
      </c>
      <c r="L196" s="8">
        <v>77</v>
      </c>
      <c r="M196" s="8">
        <v>85.68</v>
      </c>
      <c r="N196">
        <v>28</v>
      </c>
      <c r="O196" t="s">
        <v>120</v>
      </c>
      <c r="P196" t="s">
        <v>119</v>
      </c>
    </row>
    <row r="197" spans="1:16" x14ac:dyDescent="0.25">
      <c r="A197" s="10">
        <v>45805</v>
      </c>
      <c r="B197" s="1" t="s">
        <v>74</v>
      </c>
      <c r="C197" s="2">
        <v>15</v>
      </c>
      <c r="D197" s="1" t="s">
        <v>18</v>
      </c>
      <c r="E197" s="1" t="s">
        <v>23</v>
      </c>
      <c r="F197" s="3">
        <v>0.02</v>
      </c>
      <c r="G197" s="1" t="s">
        <v>75</v>
      </c>
      <c r="H197" s="1" t="s">
        <v>20</v>
      </c>
      <c r="I197" s="1" t="s">
        <v>21</v>
      </c>
      <c r="J197" s="7">
        <v>47</v>
      </c>
      <c r="K197" s="7">
        <v>53.02</v>
      </c>
      <c r="L197" s="8">
        <v>705</v>
      </c>
      <c r="M197" s="8">
        <v>795.30000000000007</v>
      </c>
      <c r="N197">
        <v>28</v>
      </c>
      <c r="O197" t="s">
        <v>120</v>
      </c>
      <c r="P197" t="s">
        <v>119</v>
      </c>
    </row>
    <row r="198" spans="1:16" x14ac:dyDescent="0.25">
      <c r="A198" s="10">
        <v>45805</v>
      </c>
      <c r="B198" s="1" t="s">
        <v>41</v>
      </c>
      <c r="C198" s="2">
        <v>6</v>
      </c>
      <c r="D198" s="1" t="s">
        <v>12</v>
      </c>
      <c r="E198" s="1" t="s">
        <v>13</v>
      </c>
      <c r="F198" s="3">
        <v>0</v>
      </c>
      <c r="G198" s="1" t="s">
        <v>42</v>
      </c>
      <c r="H198" s="1" t="s">
        <v>43</v>
      </c>
      <c r="I198" s="1" t="s">
        <v>26</v>
      </c>
      <c r="J198" s="7">
        <v>75</v>
      </c>
      <c r="K198" s="7">
        <v>87.21</v>
      </c>
      <c r="L198" s="8">
        <v>450</v>
      </c>
      <c r="M198" s="8">
        <v>523.26</v>
      </c>
      <c r="N198">
        <v>28</v>
      </c>
      <c r="O198" t="s">
        <v>120</v>
      </c>
      <c r="P198" t="s">
        <v>119</v>
      </c>
    </row>
    <row r="199" spans="1:16" x14ac:dyDescent="0.25">
      <c r="A199" s="10">
        <v>45806</v>
      </c>
      <c r="B199" s="1" t="s">
        <v>60</v>
      </c>
      <c r="C199" s="2">
        <v>2</v>
      </c>
      <c r="D199" s="1" t="s">
        <v>13</v>
      </c>
      <c r="E199" s="1" t="s">
        <v>13</v>
      </c>
      <c r="F199" s="3">
        <v>0</v>
      </c>
      <c r="G199" s="1" t="s">
        <v>61</v>
      </c>
      <c r="H199" s="1" t="s">
        <v>15</v>
      </c>
      <c r="I199" s="1" t="s">
        <v>26</v>
      </c>
      <c r="J199" s="7">
        <v>84</v>
      </c>
      <c r="K199" s="7">
        <v>93.91</v>
      </c>
      <c r="L199" s="8">
        <v>168</v>
      </c>
      <c r="M199" s="8">
        <v>187.82</v>
      </c>
      <c r="N199">
        <v>29</v>
      </c>
      <c r="O199" t="s">
        <v>120</v>
      </c>
      <c r="P199" t="s">
        <v>119</v>
      </c>
    </row>
    <row r="200" spans="1:16" x14ac:dyDescent="0.25">
      <c r="A200" s="10">
        <v>45806</v>
      </c>
      <c r="B200" s="1" t="s">
        <v>72</v>
      </c>
      <c r="C200" s="2">
        <v>5</v>
      </c>
      <c r="D200" s="1" t="s">
        <v>12</v>
      </c>
      <c r="E200" s="1" t="s">
        <v>23</v>
      </c>
      <c r="F200" s="3">
        <v>0.1</v>
      </c>
      <c r="G200" s="1" t="s">
        <v>73</v>
      </c>
      <c r="H200" s="1" t="s">
        <v>33</v>
      </c>
      <c r="I200" s="1" t="s">
        <v>26</v>
      </c>
      <c r="J200" s="7">
        <v>67</v>
      </c>
      <c r="K200" s="7">
        <v>70.67</v>
      </c>
      <c r="L200" s="8">
        <v>335</v>
      </c>
      <c r="M200" s="8">
        <v>353.35</v>
      </c>
      <c r="N200">
        <v>29</v>
      </c>
      <c r="O200" t="s">
        <v>120</v>
      </c>
      <c r="P200" t="s">
        <v>119</v>
      </c>
    </row>
    <row r="201" spans="1:16" x14ac:dyDescent="0.25">
      <c r="A201" s="10">
        <v>45808</v>
      </c>
      <c r="B201" s="1" t="s">
        <v>68</v>
      </c>
      <c r="C201" s="2">
        <v>7</v>
      </c>
      <c r="D201" s="1" t="s">
        <v>18</v>
      </c>
      <c r="E201" s="1" t="s">
        <v>13</v>
      </c>
      <c r="F201" s="3">
        <v>0</v>
      </c>
      <c r="G201" s="1" t="s">
        <v>69</v>
      </c>
      <c r="H201" s="1" t="s">
        <v>15</v>
      </c>
      <c r="I201" s="1" t="s">
        <v>38</v>
      </c>
      <c r="J201" s="7">
        <v>130</v>
      </c>
      <c r="K201" s="7">
        <v>145.19999999999999</v>
      </c>
      <c r="L201" s="8">
        <v>910</v>
      </c>
      <c r="M201" s="8">
        <v>1016.3999999999999</v>
      </c>
      <c r="N201">
        <v>31</v>
      </c>
      <c r="O201" t="s">
        <v>120</v>
      </c>
      <c r="P201" t="s">
        <v>119</v>
      </c>
    </row>
    <row r="202" spans="1:16" x14ac:dyDescent="0.25">
      <c r="A202" s="10">
        <v>45808</v>
      </c>
      <c r="B202" s="1" t="s">
        <v>56</v>
      </c>
      <c r="C202" s="2">
        <v>9</v>
      </c>
      <c r="D202" s="1" t="s">
        <v>18</v>
      </c>
      <c r="E202" s="1" t="s">
        <v>23</v>
      </c>
      <c r="F202" s="3">
        <v>0</v>
      </c>
      <c r="G202" s="1" t="s">
        <v>57</v>
      </c>
      <c r="H202" s="1" t="s">
        <v>20</v>
      </c>
      <c r="I202" s="1" t="s">
        <v>26</v>
      </c>
      <c r="J202" s="7">
        <v>79</v>
      </c>
      <c r="K202" s="7">
        <v>86.22</v>
      </c>
      <c r="L202" s="8">
        <v>711</v>
      </c>
      <c r="M202" s="8">
        <v>775.98</v>
      </c>
      <c r="N202">
        <v>31</v>
      </c>
      <c r="O202" t="s">
        <v>120</v>
      </c>
      <c r="P202" t="s">
        <v>119</v>
      </c>
    </row>
    <row r="203" spans="1:16" x14ac:dyDescent="0.25">
      <c r="A203" s="10">
        <v>45808</v>
      </c>
      <c r="B203" s="1" t="s">
        <v>106</v>
      </c>
      <c r="C203" s="2">
        <v>3</v>
      </c>
      <c r="D203" s="1" t="s">
        <v>18</v>
      </c>
      <c r="E203" s="1" t="s">
        <v>13</v>
      </c>
      <c r="F203" s="3">
        <v>0</v>
      </c>
      <c r="G203" s="1" t="s">
        <v>107</v>
      </c>
      <c r="H203" s="1" t="s">
        <v>25</v>
      </c>
      <c r="I203" s="1" t="s">
        <v>21</v>
      </c>
      <c r="J203" s="7">
        <v>39</v>
      </c>
      <c r="K203" s="7">
        <v>45.13</v>
      </c>
      <c r="L203" s="8">
        <v>117</v>
      </c>
      <c r="M203" s="8">
        <v>135.39000000000001</v>
      </c>
      <c r="N203">
        <v>31</v>
      </c>
      <c r="O203" t="s">
        <v>120</v>
      </c>
      <c r="P203" t="s">
        <v>119</v>
      </c>
    </row>
    <row r="204" spans="1:16" x14ac:dyDescent="0.25">
      <c r="A204" s="10">
        <v>45809</v>
      </c>
      <c r="B204" s="1" t="s">
        <v>22</v>
      </c>
      <c r="C204" s="2">
        <v>1</v>
      </c>
      <c r="D204" s="1" t="s">
        <v>18</v>
      </c>
      <c r="E204" s="1" t="s">
        <v>23</v>
      </c>
      <c r="F204" s="3">
        <v>0</v>
      </c>
      <c r="G204" s="1" t="s">
        <v>24</v>
      </c>
      <c r="H204" s="1" t="s">
        <v>25</v>
      </c>
      <c r="I204" s="1" t="s">
        <v>26</v>
      </c>
      <c r="J204" s="7">
        <v>112</v>
      </c>
      <c r="K204" s="7">
        <v>121.6</v>
      </c>
      <c r="L204" s="8">
        <v>112</v>
      </c>
      <c r="M204" s="8">
        <v>121.6</v>
      </c>
      <c r="N204">
        <v>1</v>
      </c>
      <c r="O204" t="s">
        <v>126</v>
      </c>
      <c r="P204" t="s">
        <v>119</v>
      </c>
    </row>
    <row r="205" spans="1:16" x14ac:dyDescent="0.25">
      <c r="A205" s="10">
        <v>45809</v>
      </c>
      <c r="B205" s="1" t="s">
        <v>44</v>
      </c>
      <c r="C205" s="2">
        <v>13</v>
      </c>
      <c r="D205" s="1" t="s">
        <v>13</v>
      </c>
      <c r="E205" s="1" t="s">
        <v>23</v>
      </c>
      <c r="F205" s="3">
        <v>0</v>
      </c>
      <c r="G205" s="1" t="s">
        <v>45</v>
      </c>
      <c r="H205" s="1" t="s">
        <v>15</v>
      </c>
      <c r="I205" s="1" t="s">
        <v>38</v>
      </c>
      <c r="J205" s="7">
        <v>110</v>
      </c>
      <c r="K205" s="7">
        <v>129.43</v>
      </c>
      <c r="L205" s="8">
        <v>1430</v>
      </c>
      <c r="M205" s="8">
        <v>1682.5900000000001</v>
      </c>
      <c r="N205">
        <v>1</v>
      </c>
      <c r="O205" t="s">
        <v>126</v>
      </c>
      <c r="P205" t="s">
        <v>119</v>
      </c>
    </row>
    <row r="206" spans="1:16" x14ac:dyDescent="0.25">
      <c r="A206" s="10">
        <v>45809</v>
      </c>
      <c r="B206" s="1" t="s">
        <v>102</v>
      </c>
      <c r="C206" s="2">
        <v>10</v>
      </c>
      <c r="D206" s="1" t="s">
        <v>13</v>
      </c>
      <c r="E206" s="1" t="s">
        <v>23</v>
      </c>
      <c r="F206" s="3">
        <v>0</v>
      </c>
      <c r="G206" s="1" t="s">
        <v>103</v>
      </c>
      <c r="H206" s="1" t="s">
        <v>15</v>
      </c>
      <c r="I206" s="1" t="s">
        <v>38</v>
      </c>
      <c r="J206" s="7">
        <v>144</v>
      </c>
      <c r="K206" s="7">
        <v>162.07</v>
      </c>
      <c r="L206" s="8">
        <v>1440</v>
      </c>
      <c r="M206" s="8">
        <v>1620.6999999999998</v>
      </c>
      <c r="N206">
        <v>1</v>
      </c>
      <c r="O206" t="s">
        <v>126</v>
      </c>
      <c r="P206" t="s">
        <v>119</v>
      </c>
    </row>
    <row r="207" spans="1:16" x14ac:dyDescent="0.25">
      <c r="A207" s="10">
        <v>45810</v>
      </c>
      <c r="B207" s="1" t="s">
        <v>56</v>
      </c>
      <c r="C207" s="2">
        <v>11</v>
      </c>
      <c r="D207" s="1" t="s">
        <v>18</v>
      </c>
      <c r="E207" s="1" t="s">
        <v>13</v>
      </c>
      <c r="F207" s="3">
        <v>0</v>
      </c>
      <c r="G207" s="1" t="s">
        <v>57</v>
      </c>
      <c r="H207" s="1" t="s">
        <v>20</v>
      </c>
      <c r="I207" s="1" t="s">
        <v>26</v>
      </c>
      <c r="J207" s="7">
        <v>79</v>
      </c>
      <c r="K207" s="7">
        <v>91.82</v>
      </c>
      <c r="L207" s="8">
        <v>869</v>
      </c>
      <c r="M207" s="8">
        <v>1010.02</v>
      </c>
      <c r="N207">
        <v>2</v>
      </c>
      <c r="O207" t="s">
        <v>126</v>
      </c>
      <c r="P207" t="s">
        <v>119</v>
      </c>
    </row>
    <row r="208" spans="1:16" x14ac:dyDescent="0.25">
      <c r="A208" s="10">
        <v>45810</v>
      </c>
      <c r="B208" s="1" t="s">
        <v>104</v>
      </c>
      <c r="C208" s="2">
        <v>10</v>
      </c>
      <c r="D208" s="1" t="s">
        <v>13</v>
      </c>
      <c r="E208" s="1" t="s">
        <v>23</v>
      </c>
      <c r="F208" s="3">
        <v>0</v>
      </c>
      <c r="G208" s="1" t="s">
        <v>105</v>
      </c>
      <c r="H208" s="1" t="s">
        <v>33</v>
      </c>
      <c r="I208" s="1" t="s">
        <v>26</v>
      </c>
      <c r="J208" s="7">
        <v>90</v>
      </c>
      <c r="K208" s="7">
        <v>99.35</v>
      </c>
      <c r="L208" s="8">
        <v>900</v>
      </c>
      <c r="M208" s="8">
        <v>993.5</v>
      </c>
      <c r="N208">
        <v>2</v>
      </c>
      <c r="O208" t="s">
        <v>126</v>
      </c>
      <c r="P208" t="s">
        <v>119</v>
      </c>
    </row>
    <row r="209" spans="1:16" x14ac:dyDescent="0.25">
      <c r="A209" s="10">
        <v>45811</v>
      </c>
      <c r="B209" s="1" t="s">
        <v>29</v>
      </c>
      <c r="C209" s="2">
        <v>14</v>
      </c>
      <c r="D209" s="1" t="s">
        <v>12</v>
      </c>
      <c r="E209" s="1" t="s">
        <v>23</v>
      </c>
      <c r="F209" s="3">
        <v>0</v>
      </c>
      <c r="G209" s="1" t="s">
        <v>30</v>
      </c>
      <c r="H209" s="1" t="s">
        <v>15</v>
      </c>
      <c r="I209" s="1" t="s">
        <v>16</v>
      </c>
      <c r="J209" s="7">
        <v>12</v>
      </c>
      <c r="K209" s="7">
        <v>13.63</v>
      </c>
      <c r="L209" s="8">
        <v>168</v>
      </c>
      <c r="M209" s="8">
        <v>190.82000000000002</v>
      </c>
      <c r="N209">
        <v>3</v>
      </c>
      <c r="O209" t="s">
        <v>126</v>
      </c>
      <c r="P209" t="s">
        <v>119</v>
      </c>
    </row>
    <row r="210" spans="1:16" x14ac:dyDescent="0.25">
      <c r="A210" s="10">
        <v>45812</v>
      </c>
      <c r="B210" s="1" t="s">
        <v>110</v>
      </c>
      <c r="C210" s="2">
        <v>7</v>
      </c>
      <c r="D210" s="1" t="s">
        <v>12</v>
      </c>
      <c r="E210" s="1" t="s">
        <v>23</v>
      </c>
      <c r="F210" s="3">
        <v>0.08</v>
      </c>
      <c r="G210" s="1" t="s">
        <v>111</v>
      </c>
      <c r="H210" s="1" t="s">
        <v>25</v>
      </c>
      <c r="I210" s="1" t="s">
        <v>26</v>
      </c>
      <c r="J210" s="7">
        <v>112</v>
      </c>
      <c r="K210" s="7">
        <v>117.21</v>
      </c>
      <c r="L210" s="8">
        <v>784</v>
      </c>
      <c r="M210" s="8">
        <v>820.46999999999991</v>
      </c>
      <c r="N210">
        <v>4</v>
      </c>
      <c r="O210" t="s">
        <v>126</v>
      </c>
      <c r="P210" t="s">
        <v>119</v>
      </c>
    </row>
    <row r="211" spans="1:16" x14ac:dyDescent="0.25">
      <c r="A211" s="10">
        <v>45812</v>
      </c>
      <c r="B211" s="1" t="s">
        <v>22</v>
      </c>
      <c r="C211" s="2">
        <v>9</v>
      </c>
      <c r="D211" s="1" t="s">
        <v>18</v>
      </c>
      <c r="E211" s="1" t="s">
        <v>23</v>
      </c>
      <c r="F211" s="3">
        <v>0</v>
      </c>
      <c r="G211" s="1" t="s">
        <v>24</v>
      </c>
      <c r="H211" s="1" t="s">
        <v>25</v>
      </c>
      <c r="I211" s="1" t="s">
        <v>26</v>
      </c>
      <c r="J211" s="7">
        <v>112</v>
      </c>
      <c r="K211" s="7">
        <v>124.27</v>
      </c>
      <c r="L211" s="8">
        <v>1008</v>
      </c>
      <c r="M211" s="8">
        <v>1118.43</v>
      </c>
      <c r="N211">
        <v>4</v>
      </c>
      <c r="O211" t="s">
        <v>126</v>
      </c>
      <c r="P211" t="s">
        <v>119</v>
      </c>
    </row>
    <row r="212" spans="1:16" x14ac:dyDescent="0.25">
      <c r="A212" s="10">
        <v>45813</v>
      </c>
      <c r="B212" s="1" t="s">
        <v>41</v>
      </c>
      <c r="C212" s="2">
        <v>4</v>
      </c>
      <c r="D212" s="1" t="s">
        <v>13</v>
      </c>
      <c r="E212" s="1" t="s">
        <v>13</v>
      </c>
      <c r="F212" s="3">
        <v>0</v>
      </c>
      <c r="G212" s="1" t="s">
        <v>42</v>
      </c>
      <c r="H212" s="1" t="s">
        <v>43</v>
      </c>
      <c r="I212" s="1" t="s">
        <v>26</v>
      </c>
      <c r="J212" s="7">
        <v>75</v>
      </c>
      <c r="K212" s="7">
        <v>86.93</v>
      </c>
      <c r="L212" s="8">
        <v>300</v>
      </c>
      <c r="M212" s="8">
        <v>347.72</v>
      </c>
      <c r="N212">
        <v>5</v>
      </c>
      <c r="O212" t="s">
        <v>126</v>
      </c>
      <c r="P212" t="s">
        <v>119</v>
      </c>
    </row>
    <row r="213" spans="1:16" x14ac:dyDescent="0.25">
      <c r="A213" s="10">
        <v>45813</v>
      </c>
      <c r="B213" s="1" t="s">
        <v>104</v>
      </c>
      <c r="C213" s="2">
        <v>9</v>
      </c>
      <c r="D213" s="1" t="s">
        <v>13</v>
      </c>
      <c r="E213" s="1" t="s">
        <v>23</v>
      </c>
      <c r="F213" s="3">
        <v>0</v>
      </c>
      <c r="G213" s="1" t="s">
        <v>105</v>
      </c>
      <c r="H213" s="1" t="s">
        <v>33</v>
      </c>
      <c r="I213" s="1" t="s">
        <v>26</v>
      </c>
      <c r="J213" s="7">
        <v>90</v>
      </c>
      <c r="K213" s="7">
        <v>102.43</v>
      </c>
      <c r="L213" s="8">
        <v>810</v>
      </c>
      <c r="M213" s="8">
        <v>921.87000000000012</v>
      </c>
      <c r="N213">
        <v>5</v>
      </c>
      <c r="O213" t="s">
        <v>126</v>
      </c>
      <c r="P213" t="s">
        <v>119</v>
      </c>
    </row>
    <row r="214" spans="1:16" x14ac:dyDescent="0.25">
      <c r="A214" s="10">
        <v>45813</v>
      </c>
      <c r="B214" s="1" t="s">
        <v>104</v>
      </c>
      <c r="C214" s="2">
        <v>4</v>
      </c>
      <c r="D214" s="1" t="s">
        <v>18</v>
      </c>
      <c r="E214" s="1" t="s">
        <v>13</v>
      </c>
      <c r="F214" s="3">
        <v>0</v>
      </c>
      <c r="G214" s="1" t="s">
        <v>105</v>
      </c>
      <c r="H214" s="1" t="s">
        <v>33</v>
      </c>
      <c r="I214" s="1" t="s">
        <v>26</v>
      </c>
      <c r="J214" s="7">
        <v>90</v>
      </c>
      <c r="K214" s="7">
        <v>104.18</v>
      </c>
      <c r="L214" s="8">
        <v>360</v>
      </c>
      <c r="M214" s="8">
        <v>416.72</v>
      </c>
      <c r="N214">
        <v>5</v>
      </c>
      <c r="O214" t="s">
        <v>126</v>
      </c>
      <c r="P214" t="s">
        <v>119</v>
      </c>
    </row>
    <row r="215" spans="1:16" x14ac:dyDescent="0.25">
      <c r="A215" s="10">
        <v>45814</v>
      </c>
      <c r="B215" s="1" t="s">
        <v>29</v>
      </c>
      <c r="C215" s="2">
        <v>4</v>
      </c>
      <c r="D215" s="1" t="s">
        <v>13</v>
      </c>
      <c r="E215" s="1" t="s">
        <v>23</v>
      </c>
      <c r="F215" s="3">
        <v>0</v>
      </c>
      <c r="G215" s="1" t="s">
        <v>30</v>
      </c>
      <c r="H215" s="1" t="s">
        <v>15</v>
      </c>
      <c r="I215" s="1" t="s">
        <v>16</v>
      </c>
      <c r="J215" s="7">
        <v>12</v>
      </c>
      <c r="K215" s="7">
        <v>13.85</v>
      </c>
      <c r="L215" s="8">
        <v>48</v>
      </c>
      <c r="M215" s="8">
        <v>55.4</v>
      </c>
      <c r="N215">
        <v>6</v>
      </c>
      <c r="O215" t="s">
        <v>126</v>
      </c>
      <c r="P215" t="s">
        <v>119</v>
      </c>
    </row>
    <row r="216" spans="1:16" x14ac:dyDescent="0.25">
      <c r="A216" s="10">
        <v>45815</v>
      </c>
      <c r="B216" s="1" t="s">
        <v>62</v>
      </c>
      <c r="C216" s="2">
        <v>1</v>
      </c>
      <c r="D216" s="1" t="s">
        <v>13</v>
      </c>
      <c r="E216" s="1" t="s">
        <v>23</v>
      </c>
      <c r="F216" s="3">
        <v>0.05</v>
      </c>
      <c r="G216" s="1" t="s">
        <v>63</v>
      </c>
      <c r="H216" s="1" t="s">
        <v>15</v>
      </c>
      <c r="I216" s="1" t="s">
        <v>38</v>
      </c>
      <c r="J216" s="7">
        <v>95</v>
      </c>
      <c r="K216" s="7">
        <v>104.83</v>
      </c>
      <c r="L216" s="8">
        <v>95</v>
      </c>
      <c r="M216" s="8">
        <v>104.83</v>
      </c>
      <c r="N216">
        <v>7</v>
      </c>
      <c r="O216" t="s">
        <v>126</v>
      </c>
      <c r="P216" t="s">
        <v>119</v>
      </c>
    </row>
    <row r="217" spans="1:16" x14ac:dyDescent="0.25">
      <c r="A217" s="10">
        <v>45816</v>
      </c>
      <c r="B217" s="1" t="s">
        <v>82</v>
      </c>
      <c r="C217" s="2">
        <v>7</v>
      </c>
      <c r="D217" s="1" t="s">
        <v>13</v>
      </c>
      <c r="E217" s="1" t="s">
        <v>13</v>
      </c>
      <c r="F217" s="3">
        <v>0</v>
      </c>
      <c r="G217" s="1" t="s">
        <v>83</v>
      </c>
      <c r="H217" s="1" t="s">
        <v>33</v>
      </c>
      <c r="I217" s="1" t="s">
        <v>16</v>
      </c>
      <c r="J217" s="7">
        <v>11</v>
      </c>
      <c r="K217" s="7">
        <v>12.09</v>
      </c>
      <c r="L217" s="8">
        <v>77</v>
      </c>
      <c r="M217" s="8">
        <v>84.63</v>
      </c>
      <c r="N217">
        <v>8</v>
      </c>
      <c r="O217" t="s">
        <v>126</v>
      </c>
      <c r="P217" t="s">
        <v>119</v>
      </c>
    </row>
    <row r="218" spans="1:16" x14ac:dyDescent="0.25">
      <c r="A218" s="10">
        <v>45816</v>
      </c>
      <c r="B218" s="1" t="s">
        <v>52</v>
      </c>
      <c r="C218" s="2">
        <v>4</v>
      </c>
      <c r="D218" s="1" t="s">
        <v>13</v>
      </c>
      <c r="E218" s="1" t="s">
        <v>13</v>
      </c>
      <c r="F218" s="3">
        <v>0</v>
      </c>
      <c r="G218" s="1" t="s">
        <v>53</v>
      </c>
      <c r="H218" s="1" t="s">
        <v>25</v>
      </c>
      <c r="I218" s="1" t="s">
        <v>21</v>
      </c>
      <c r="J218" s="7">
        <v>58</v>
      </c>
      <c r="K218" s="7">
        <v>68.44</v>
      </c>
      <c r="L218" s="8">
        <v>232</v>
      </c>
      <c r="M218" s="8">
        <v>273.76</v>
      </c>
      <c r="N218">
        <v>8</v>
      </c>
      <c r="O218" t="s">
        <v>126</v>
      </c>
      <c r="P218" t="s">
        <v>119</v>
      </c>
    </row>
    <row r="219" spans="1:16" x14ac:dyDescent="0.25">
      <c r="A219" s="10">
        <v>45817</v>
      </c>
      <c r="B219" s="1" t="s">
        <v>50</v>
      </c>
      <c r="C219" s="2">
        <v>1</v>
      </c>
      <c r="D219" s="1" t="s">
        <v>18</v>
      </c>
      <c r="E219" s="1" t="s">
        <v>23</v>
      </c>
      <c r="F219" s="3">
        <v>0</v>
      </c>
      <c r="G219" s="1" t="s">
        <v>51</v>
      </c>
      <c r="H219" s="1" t="s">
        <v>33</v>
      </c>
      <c r="I219" s="1" t="s">
        <v>26</v>
      </c>
      <c r="J219" s="7">
        <v>102</v>
      </c>
      <c r="K219" s="7">
        <v>118.74</v>
      </c>
      <c r="L219" s="8">
        <v>102</v>
      </c>
      <c r="M219" s="8">
        <v>118.74</v>
      </c>
      <c r="N219">
        <v>9</v>
      </c>
      <c r="O219" t="s">
        <v>126</v>
      </c>
      <c r="P219" t="s">
        <v>119</v>
      </c>
    </row>
    <row r="220" spans="1:16" x14ac:dyDescent="0.25">
      <c r="A220" s="10">
        <v>45817</v>
      </c>
      <c r="B220" s="1" t="s">
        <v>60</v>
      </c>
      <c r="C220" s="2">
        <v>2</v>
      </c>
      <c r="D220" s="1" t="s">
        <v>18</v>
      </c>
      <c r="E220" s="1" t="s">
        <v>23</v>
      </c>
      <c r="F220" s="3">
        <v>0</v>
      </c>
      <c r="G220" s="1" t="s">
        <v>61</v>
      </c>
      <c r="H220" s="1" t="s">
        <v>15</v>
      </c>
      <c r="I220" s="1" t="s">
        <v>26</v>
      </c>
      <c r="J220" s="7">
        <v>84</v>
      </c>
      <c r="K220" s="7">
        <v>93.17</v>
      </c>
      <c r="L220" s="8">
        <v>168</v>
      </c>
      <c r="M220" s="8">
        <v>186.34</v>
      </c>
      <c r="N220">
        <v>9</v>
      </c>
      <c r="O220" t="s">
        <v>126</v>
      </c>
      <c r="P220" t="s">
        <v>119</v>
      </c>
    </row>
    <row r="221" spans="1:16" x14ac:dyDescent="0.25">
      <c r="A221" s="10">
        <v>45818</v>
      </c>
      <c r="B221" s="1" t="s">
        <v>82</v>
      </c>
      <c r="C221" s="2">
        <v>5</v>
      </c>
      <c r="D221" s="1" t="s">
        <v>13</v>
      </c>
      <c r="E221" s="1" t="s">
        <v>23</v>
      </c>
      <c r="F221" s="3">
        <v>0</v>
      </c>
      <c r="G221" s="1" t="s">
        <v>83</v>
      </c>
      <c r="H221" s="1" t="s">
        <v>33</v>
      </c>
      <c r="I221" s="1" t="s">
        <v>16</v>
      </c>
      <c r="J221" s="7">
        <v>11</v>
      </c>
      <c r="K221" s="7">
        <v>12.4</v>
      </c>
      <c r="L221" s="8">
        <v>55</v>
      </c>
      <c r="M221" s="8">
        <v>62</v>
      </c>
      <c r="N221">
        <v>10</v>
      </c>
      <c r="O221" t="s">
        <v>126</v>
      </c>
      <c r="P221" t="s">
        <v>119</v>
      </c>
    </row>
    <row r="222" spans="1:16" x14ac:dyDescent="0.25">
      <c r="A222" s="10">
        <v>45821</v>
      </c>
      <c r="B222" s="1" t="s">
        <v>70</v>
      </c>
      <c r="C222" s="2">
        <v>5</v>
      </c>
      <c r="D222" s="1" t="s">
        <v>13</v>
      </c>
      <c r="E222" s="1" t="s">
        <v>23</v>
      </c>
      <c r="F222" s="3">
        <v>0.05</v>
      </c>
      <c r="G222" s="1" t="s">
        <v>71</v>
      </c>
      <c r="H222" s="1" t="s">
        <v>43</v>
      </c>
      <c r="I222" s="1" t="s">
        <v>21</v>
      </c>
      <c r="J222" s="7">
        <v>52</v>
      </c>
      <c r="K222" s="7">
        <v>56.55</v>
      </c>
      <c r="L222" s="8">
        <v>260</v>
      </c>
      <c r="M222" s="8">
        <v>282.75</v>
      </c>
      <c r="N222">
        <v>13</v>
      </c>
      <c r="O222" t="s">
        <v>126</v>
      </c>
      <c r="P222" t="s">
        <v>119</v>
      </c>
    </row>
    <row r="223" spans="1:16" x14ac:dyDescent="0.25">
      <c r="A223" s="10">
        <v>45821</v>
      </c>
      <c r="B223" s="1" t="s">
        <v>46</v>
      </c>
      <c r="C223" s="2">
        <v>14</v>
      </c>
      <c r="D223" s="1" t="s">
        <v>13</v>
      </c>
      <c r="E223" s="1" t="s">
        <v>13</v>
      </c>
      <c r="F223" s="3">
        <v>0</v>
      </c>
      <c r="G223" s="1" t="s">
        <v>47</v>
      </c>
      <c r="H223" s="1" t="s">
        <v>15</v>
      </c>
      <c r="I223" s="1" t="s">
        <v>16</v>
      </c>
      <c r="J223" s="7">
        <v>8</v>
      </c>
      <c r="K223" s="7">
        <v>9.18</v>
      </c>
      <c r="L223" s="8">
        <v>112</v>
      </c>
      <c r="M223" s="8">
        <v>128.51999999999998</v>
      </c>
      <c r="N223">
        <v>13</v>
      </c>
      <c r="O223" t="s">
        <v>126</v>
      </c>
      <c r="P223" t="s">
        <v>119</v>
      </c>
    </row>
    <row r="224" spans="1:16" x14ac:dyDescent="0.25">
      <c r="A224" s="10">
        <v>45822</v>
      </c>
      <c r="B224" s="1" t="s">
        <v>56</v>
      </c>
      <c r="C224" s="2">
        <v>8</v>
      </c>
      <c r="D224" s="1" t="s">
        <v>13</v>
      </c>
      <c r="E224" s="1" t="s">
        <v>23</v>
      </c>
      <c r="F224" s="3">
        <v>0</v>
      </c>
      <c r="G224" s="1" t="s">
        <v>57</v>
      </c>
      <c r="H224" s="1" t="s">
        <v>20</v>
      </c>
      <c r="I224" s="1" t="s">
        <v>26</v>
      </c>
      <c r="J224" s="7">
        <v>79</v>
      </c>
      <c r="K224" s="7">
        <v>91.59</v>
      </c>
      <c r="L224" s="8">
        <v>632</v>
      </c>
      <c r="M224" s="8">
        <v>732.72</v>
      </c>
      <c r="N224">
        <v>14</v>
      </c>
      <c r="O224" t="s">
        <v>126</v>
      </c>
      <c r="P224" t="s">
        <v>119</v>
      </c>
    </row>
    <row r="225" spans="1:16" x14ac:dyDescent="0.25">
      <c r="A225" s="10">
        <v>45822</v>
      </c>
      <c r="B225" s="1" t="s">
        <v>48</v>
      </c>
      <c r="C225" s="2">
        <v>11</v>
      </c>
      <c r="D225" s="1" t="s">
        <v>13</v>
      </c>
      <c r="E225" s="1" t="s">
        <v>23</v>
      </c>
      <c r="F225" s="3">
        <v>0</v>
      </c>
      <c r="G225" s="1" t="s">
        <v>49</v>
      </c>
      <c r="H225" s="1" t="s">
        <v>15</v>
      </c>
      <c r="I225" s="1" t="s">
        <v>26</v>
      </c>
      <c r="J225" s="7">
        <v>67</v>
      </c>
      <c r="K225" s="7">
        <v>73.92</v>
      </c>
      <c r="L225" s="8">
        <v>737</v>
      </c>
      <c r="M225" s="8">
        <v>813.12</v>
      </c>
      <c r="N225">
        <v>14</v>
      </c>
      <c r="O225" t="s">
        <v>126</v>
      </c>
      <c r="P225" t="s">
        <v>119</v>
      </c>
    </row>
    <row r="226" spans="1:16" x14ac:dyDescent="0.25">
      <c r="A226" s="10">
        <v>45824</v>
      </c>
      <c r="B226" s="1" t="s">
        <v>11</v>
      </c>
      <c r="C226" s="2">
        <v>5</v>
      </c>
      <c r="D226" s="1" t="s">
        <v>12</v>
      </c>
      <c r="E226" s="1" t="s">
        <v>13</v>
      </c>
      <c r="F226" s="3">
        <v>0.05</v>
      </c>
      <c r="G226" s="1" t="s">
        <v>14</v>
      </c>
      <c r="H226" s="1" t="s">
        <v>15</v>
      </c>
      <c r="I226" s="1" t="s">
        <v>16</v>
      </c>
      <c r="J226" s="7">
        <v>7</v>
      </c>
      <c r="K226" s="7">
        <v>7.57</v>
      </c>
      <c r="L226" s="8">
        <v>35</v>
      </c>
      <c r="M226" s="8">
        <v>37.85</v>
      </c>
      <c r="N226">
        <v>16</v>
      </c>
      <c r="O226" t="s">
        <v>126</v>
      </c>
      <c r="P226" t="s">
        <v>119</v>
      </c>
    </row>
    <row r="227" spans="1:16" x14ac:dyDescent="0.25">
      <c r="A227" s="10">
        <v>45825</v>
      </c>
      <c r="B227" s="1" t="s">
        <v>22</v>
      </c>
      <c r="C227" s="2">
        <v>8</v>
      </c>
      <c r="D227" s="1" t="s">
        <v>13</v>
      </c>
      <c r="E227" s="1" t="s">
        <v>13</v>
      </c>
      <c r="F227" s="3">
        <v>0</v>
      </c>
      <c r="G227" s="1" t="s">
        <v>24</v>
      </c>
      <c r="H227" s="1" t="s">
        <v>25</v>
      </c>
      <c r="I227" s="1" t="s">
        <v>26</v>
      </c>
      <c r="J227" s="7">
        <v>112</v>
      </c>
      <c r="K227" s="7">
        <v>131.61000000000001</v>
      </c>
      <c r="L227" s="8">
        <v>896</v>
      </c>
      <c r="M227" s="8">
        <v>1052.8800000000001</v>
      </c>
      <c r="N227">
        <v>17</v>
      </c>
      <c r="O227" t="s">
        <v>126</v>
      </c>
      <c r="P227" t="s">
        <v>119</v>
      </c>
    </row>
    <row r="228" spans="1:16" x14ac:dyDescent="0.25">
      <c r="A228" s="10">
        <v>45825</v>
      </c>
      <c r="B228" s="1" t="s">
        <v>104</v>
      </c>
      <c r="C228" s="2">
        <v>4</v>
      </c>
      <c r="D228" s="1" t="s">
        <v>18</v>
      </c>
      <c r="E228" s="1" t="s">
        <v>13</v>
      </c>
      <c r="F228" s="3">
        <v>0</v>
      </c>
      <c r="G228" s="1" t="s">
        <v>105</v>
      </c>
      <c r="H228" s="1" t="s">
        <v>33</v>
      </c>
      <c r="I228" s="1" t="s">
        <v>26</v>
      </c>
      <c r="J228" s="7">
        <v>90</v>
      </c>
      <c r="K228" s="7">
        <v>99.92</v>
      </c>
      <c r="L228" s="8">
        <v>360</v>
      </c>
      <c r="M228" s="8">
        <v>399.68</v>
      </c>
      <c r="N228">
        <v>17</v>
      </c>
      <c r="O228" t="s">
        <v>126</v>
      </c>
      <c r="P228" t="s">
        <v>119</v>
      </c>
    </row>
    <row r="229" spans="1:16" x14ac:dyDescent="0.25">
      <c r="A229" s="10">
        <v>45825</v>
      </c>
      <c r="B229" s="1" t="s">
        <v>94</v>
      </c>
      <c r="C229" s="2">
        <v>10</v>
      </c>
      <c r="D229" s="1" t="s">
        <v>18</v>
      </c>
      <c r="E229" s="1" t="s">
        <v>23</v>
      </c>
      <c r="F229" s="3">
        <v>0</v>
      </c>
      <c r="G229" s="1" t="s">
        <v>95</v>
      </c>
      <c r="H229" s="1" t="s">
        <v>20</v>
      </c>
      <c r="I229" s="1" t="s">
        <v>26</v>
      </c>
      <c r="J229" s="7">
        <v>56</v>
      </c>
      <c r="K229" s="7">
        <v>62.93</v>
      </c>
      <c r="L229" s="8">
        <v>560</v>
      </c>
      <c r="M229" s="8">
        <v>629.29999999999995</v>
      </c>
      <c r="N229">
        <v>17</v>
      </c>
      <c r="O229" t="s">
        <v>126</v>
      </c>
      <c r="P229" t="s">
        <v>119</v>
      </c>
    </row>
    <row r="230" spans="1:16" x14ac:dyDescent="0.25">
      <c r="A230" s="10">
        <v>45825</v>
      </c>
      <c r="B230" s="1" t="s">
        <v>60</v>
      </c>
      <c r="C230" s="2">
        <v>8</v>
      </c>
      <c r="D230" s="1" t="s">
        <v>13</v>
      </c>
      <c r="E230" s="1" t="s">
        <v>23</v>
      </c>
      <c r="F230" s="3">
        <v>0</v>
      </c>
      <c r="G230" s="1" t="s">
        <v>61</v>
      </c>
      <c r="H230" s="1" t="s">
        <v>15</v>
      </c>
      <c r="I230" s="1" t="s">
        <v>26</v>
      </c>
      <c r="J230" s="7">
        <v>84</v>
      </c>
      <c r="K230" s="7">
        <v>91.86</v>
      </c>
      <c r="L230" s="8">
        <v>672</v>
      </c>
      <c r="M230" s="8">
        <v>734.88</v>
      </c>
      <c r="N230">
        <v>17</v>
      </c>
      <c r="O230" t="s">
        <v>126</v>
      </c>
      <c r="P230" t="s">
        <v>119</v>
      </c>
    </row>
    <row r="231" spans="1:16" x14ac:dyDescent="0.25">
      <c r="A231" s="10">
        <v>45827</v>
      </c>
      <c r="B231" s="1" t="s">
        <v>108</v>
      </c>
      <c r="C231" s="2">
        <v>2</v>
      </c>
      <c r="D231" s="1" t="s">
        <v>12</v>
      </c>
      <c r="E231" s="1" t="s">
        <v>13</v>
      </c>
      <c r="F231" s="3">
        <v>0.08</v>
      </c>
      <c r="G231" s="1" t="s">
        <v>109</v>
      </c>
      <c r="H231" s="1" t="s">
        <v>43</v>
      </c>
      <c r="I231" s="1" t="s">
        <v>26</v>
      </c>
      <c r="J231" s="7">
        <v>65</v>
      </c>
      <c r="K231" s="7">
        <v>64.81</v>
      </c>
      <c r="L231" s="8">
        <v>130</v>
      </c>
      <c r="M231" s="8">
        <v>129.62</v>
      </c>
      <c r="N231">
        <v>19</v>
      </c>
      <c r="O231" t="s">
        <v>126</v>
      </c>
      <c r="P231" t="s">
        <v>119</v>
      </c>
    </row>
    <row r="232" spans="1:16" x14ac:dyDescent="0.25">
      <c r="A232" s="10">
        <v>45827</v>
      </c>
      <c r="B232" s="1" t="s">
        <v>104</v>
      </c>
      <c r="C232" s="2">
        <v>6</v>
      </c>
      <c r="D232" s="1" t="s">
        <v>18</v>
      </c>
      <c r="E232" s="1" t="s">
        <v>23</v>
      </c>
      <c r="F232" s="3">
        <v>0</v>
      </c>
      <c r="G232" s="1" t="s">
        <v>105</v>
      </c>
      <c r="H232" s="1" t="s">
        <v>33</v>
      </c>
      <c r="I232" s="1" t="s">
        <v>26</v>
      </c>
      <c r="J232" s="7">
        <v>90</v>
      </c>
      <c r="K232" s="7">
        <v>99.9</v>
      </c>
      <c r="L232" s="8">
        <v>540</v>
      </c>
      <c r="M232" s="8">
        <v>599.40000000000009</v>
      </c>
      <c r="N232">
        <v>19</v>
      </c>
      <c r="O232" t="s">
        <v>126</v>
      </c>
      <c r="P232" t="s">
        <v>119</v>
      </c>
    </row>
    <row r="233" spans="1:16" x14ac:dyDescent="0.25">
      <c r="A233" s="10">
        <v>45829</v>
      </c>
      <c r="B233" s="1" t="s">
        <v>48</v>
      </c>
      <c r="C233" s="2">
        <v>8</v>
      </c>
      <c r="D233" s="1" t="s">
        <v>12</v>
      </c>
      <c r="E233" s="1" t="s">
        <v>13</v>
      </c>
      <c r="F233" s="3">
        <v>0</v>
      </c>
      <c r="G233" s="1" t="s">
        <v>49</v>
      </c>
      <c r="H233" s="1" t="s">
        <v>15</v>
      </c>
      <c r="I233" s="1" t="s">
        <v>26</v>
      </c>
      <c r="J233" s="7">
        <v>67</v>
      </c>
      <c r="K233" s="7">
        <v>75.739999999999995</v>
      </c>
      <c r="L233" s="8">
        <v>536</v>
      </c>
      <c r="M233" s="8">
        <v>605.91999999999996</v>
      </c>
      <c r="N233">
        <v>21</v>
      </c>
      <c r="O233" t="s">
        <v>126</v>
      </c>
      <c r="P233" t="s">
        <v>119</v>
      </c>
    </row>
    <row r="234" spans="1:16" x14ac:dyDescent="0.25">
      <c r="A234" s="10">
        <v>45830</v>
      </c>
      <c r="B234" s="1" t="s">
        <v>100</v>
      </c>
      <c r="C234" s="2">
        <v>2</v>
      </c>
      <c r="D234" s="1" t="s">
        <v>13</v>
      </c>
      <c r="E234" s="1" t="s">
        <v>13</v>
      </c>
      <c r="F234" s="3">
        <v>0</v>
      </c>
      <c r="G234" s="1" t="s">
        <v>101</v>
      </c>
      <c r="H234" s="1" t="s">
        <v>25</v>
      </c>
      <c r="I234" s="1" t="s">
        <v>26</v>
      </c>
      <c r="J234" s="7">
        <v>88</v>
      </c>
      <c r="K234" s="7">
        <v>100.35</v>
      </c>
      <c r="L234" s="8">
        <v>176</v>
      </c>
      <c r="M234" s="8">
        <v>200.7</v>
      </c>
      <c r="N234">
        <v>22</v>
      </c>
      <c r="O234" t="s">
        <v>126</v>
      </c>
      <c r="P234" t="s">
        <v>119</v>
      </c>
    </row>
    <row r="235" spans="1:16" x14ac:dyDescent="0.25">
      <c r="A235" s="10">
        <v>45831</v>
      </c>
      <c r="B235" s="1" t="s">
        <v>108</v>
      </c>
      <c r="C235" s="2">
        <v>10</v>
      </c>
      <c r="D235" s="1" t="s">
        <v>18</v>
      </c>
      <c r="E235" s="1" t="s">
        <v>23</v>
      </c>
      <c r="F235" s="3">
        <v>0.02</v>
      </c>
      <c r="G235" s="1" t="s">
        <v>109</v>
      </c>
      <c r="H235" s="1" t="s">
        <v>43</v>
      </c>
      <c r="I235" s="1" t="s">
        <v>26</v>
      </c>
      <c r="J235" s="7">
        <v>65</v>
      </c>
      <c r="K235" s="7">
        <v>70.260000000000005</v>
      </c>
      <c r="L235" s="8">
        <v>650</v>
      </c>
      <c r="M235" s="8">
        <v>702.6</v>
      </c>
      <c r="N235">
        <v>23</v>
      </c>
      <c r="O235" t="s">
        <v>126</v>
      </c>
      <c r="P235" t="s">
        <v>119</v>
      </c>
    </row>
    <row r="236" spans="1:16" x14ac:dyDescent="0.25">
      <c r="A236" s="10">
        <v>45831</v>
      </c>
      <c r="B236" s="1" t="s">
        <v>84</v>
      </c>
      <c r="C236" s="2">
        <v>3</v>
      </c>
      <c r="D236" s="1" t="s">
        <v>12</v>
      </c>
      <c r="E236" s="1" t="s">
        <v>13</v>
      </c>
      <c r="F236" s="3">
        <v>0</v>
      </c>
      <c r="G236" s="1" t="s">
        <v>85</v>
      </c>
      <c r="H236" s="1" t="s">
        <v>33</v>
      </c>
      <c r="I236" s="1" t="s">
        <v>38</v>
      </c>
      <c r="J236" s="7">
        <v>120</v>
      </c>
      <c r="K236" s="7">
        <v>131.79</v>
      </c>
      <c r="L236" s="8">
        <v>360</v>
      </c>
      <c r="M236" s="8">
        <v>395.37</v>
      </c>
      <c r="N236">
        <v>23</v>
      </c>
      <c r="O236" t="s">
        <v>126</v>
      </c>
      <c r="P236" t="s">
        <v>119</v>
      </c>
    </row>
    <row r="237" spans="1:16" x14ac:dyDescent="0.25">
      <c r="A237" s="10">
        <v>45831</v>
      </c>
      <c r="B237" s="1" t="s">
        <v>50</v>
      </c>
      <c r="C237" s="2">
        <v>6</v>
      </c>
      <c r="D237" s="1" t="s">
        <v>18</v>
      </c>
      <c r="E237" s="1" t="s">
        <v>23</v>
      </c>
      <c r="F237" s="3">
        <v>0</v>
      </c>
      <c r="G237" s="1" t="s">
        <v>51</v>
      </c>
      <c r="H237" s="1" t="s">
        <v>33</v>
      </c>
      <c r="I237" s="1" t="s">
        <v>26</v>
      </c>
      <c r="J237" s="7">
        <v>102</v>
      </c>
      <c r="K237" s="7">
        <v>114.25</v>
      </c>
      <c r="L237" s="8">
        <v>612</v>
      </c>
      <c r="M237" s="8">
        <v>685.5</v>
      </c>
      <c r="N237">
        <v>23</v>
      </c>
      <c r="O237" t="s">
        <v>126</v>
      </c>
      <c r="P237" t="s">
        <v>119</v>
      </c>
    </row>
    <row r="238" spans="1:16" x14ac:dyDescent="0.25">
      <c r="A238" s="10">
        <v>45832</v>
      </c>
      <c r="B238" s="1" t="s">
        <v>52</v>
      </c>
      <c r="C238" s="2">
        <v>15</v>
      </c>
      <c r="D238" s="1" t="s">
        <v>12</v>
      </c>
      <c r="E238" s="1" t="s">
        <v>13</v>
      </c>
      <c r="F238" s="3">
        <v>0.05</v>
      </c>
      <c r="G238" s="1" t="s">
        <v>53</v>
      </c>
      <c r="H238" s="1" t="s">
        <v>25</v>
      </c>
      <c r="I238" s="1" t="s">
        <v>21</v>
      </c>
      <c r="J238" s="7">
        <v>58</v>
      </c>
      <c r="K238" s="7">
        <v>62.74</v>
      </c>
      <c r="L238" s="8">
        <v>870</v>
      </c>
      <c r="M238" s="8">
        <v>941.1</v>
      </c>
      <c r="N238">
        <v>24</v>
      </c>
      <c r="O238" t="s">
        <v>126</v>
      </c>
      <c r="P238" t="s">
        <v>119</v>
      </c>
    </row>
    <row r="239" spans="1:16" x14ac:dyDescent="0.25">
      <c r="A239" s="10">
        <v>45834</v>
      </c>
      <c r="B239" s="1" t="s">
        <v>94</v>
      </c>
      <c r="C239" s="2">
        <v>3</v>
      </c>
      <c r="D239" s="1" t="s">
        <v>18</v>
      </c>
      <c r="E239" s="1" t="s">
        <v>23</v>
      </c>
      <c r="F239" s="3">
        <v>0</v>
      </c>
      <c r="G239" s="1" t="s">
        <v>95</v>
      </c>
      <c r="H239" s="1" t="s">
        <v>20</v>
      </c>
      <c r="I239" s="1" t="s">
        <v>26</v>
      </c>
      <c r="J239" s="7">
        <v>56</v>
      </c>
      <c r="K239" s="7">
        <v>63.09</v>
      </c>
      <c r="L239" s="8">
        <v>168</v>
      </c>
      <c r="M239" s="8">
        <v>189.27</v>
      </c>
      <c r="N239">
        <v>26</v>
      </c>
      <c r="O239" t="s">
        <v>126</v>
      </c>
      <c r="P239" t="s">
        <v>119</v>
      </c>
    </row>
    <row r="240" spans="1:16" x14ac:dyDescent="0.25">
      <c r="A240" s="10">
        <v>45836</v>
      </c>
      <c r="B240" s="1" t="s">
        <v>36</v>
      </c>
      <c r="C240" s="2">
        <v>14</v>
      </c>
      <c r="D240" s="1" t="s">
        <v>18</v>
      </c>
      <c r="E240" s="1" t="s">
        <v>23</v>
      </c>
      <c r="F240" s="3">
        <v>0</v>
      </c>
      <c r="G240" s="1" t="s">
        <v>37</v>
      </c>
      <c r="H240" s="1" t="s">
        <v>15</v>
      </c>
      <c r="I240" s="1" t="s">
        <v>38</v>
      </c>
      <c r="J240" s="7">
        <v>141</v>
      </c>
      <c r="K240" s="7">
        <v>162.22999999999999</v>
      </c>
      <c r="L240" s="8">
        <v>1974</v>
      </c>
      <c r="M240" s="8">
        <v>2271.2199999999998</v>
      </c>
      <c r="N240">
        <v>28</v>
      </c>
      <c r="O240" t="s">
        <v>126</v>
      </c>
      <c r="P240" t="s">
        <v>119</v>
      </c>
    </row>
    <row r="241" spans="1:16" x14ac:dyDescent="0.25">
      <c r="A241" s="10">
        <v>45837</v>
      </c>
      <c r="B241" s="1" t="s">
        <v>68</v>
      </c>
      <c r="C241" s="2">
        <v>11</v>
      </c>
      <c r="D241" s="1" t="s">
        <v>13</v>
      </c>
      <c r="E241" s="1" t="s">
        <v>23</v>
      </c>
      <c r="F241" s="3">
        <v>0</v>
      </c>
      <c r="G241" s="1" t="s">
        <v>69</v>
      </c>
      <c r="H241" s="1" t="s">
        <v>15</v>
      </c>
      <c r="I241" s="1" t="s">
        <v>38</v>
      </c>
      <c r="J241" s="7">
        <v>130</v>
      </c>
      <c r="K241" s="7">
        <v>152.74</v>
      </c>
      <c r="L241" s="8">
        <v>1430</v>
      </c>
      <c r="M241" s="8">
        <v>1680.14</v>
      </c>
      <c r="N241">
        <v>29</v>
      </c>
      <c r="O241" t="s">
        <v>126</v>
      </c>
      <c r="P241" t="s">
        <v>119</v>
      </c>
    </row>
    <row r="242" spans="1:16" x14ac:dyDescent="0.25">
      <c r="A242" s="10">
        <v>45837</v>
      </c>
      <c r="B242" s="1" t="s">
        <v>66</v>
      </c>
      <c r="C242" s="2">
        <v>11</v>
      </c>
      <c r="D242" s="1" t="s">
        <v>18</v>
      </c>
      <c r="E242" s="1" t="s">
        <v>13</v>
      </c>
      <c r="F242" s="3">
        <v>0</v>
      </c>
      <c r="G242" s="1" t="s">
        <v>67</v>
      </c>
      <c r="H242" s="1" t="s">
        <v>15</v>
      </c>
      <c r="I242" s="1" t="s">
        <v>21</v>
      </c>
      <c r="J242" s="7">
        <v>61</v>
      </c>
      <c r="K242" s="7">
        <v>70.2</v>
      </c>
      <c r="L242" s="8">
        <v>671</v>
      </c>
      <c r="M242" s="8">
        <v>772.2</v>
      </c>
      <c r="N242">
        <v>29</v>
      </c>
      <c r="O242" t="s">
        <v>126</v>
      </c>
      <c r="P242" t="s">
        <v>119</v>
      </c>
    </row>
    <row r="243" spans="1:16" x14ac:dyDescent="0.25">
      <c r="A243" s="10">
        <v>45837</v>
      </c>
      <c r="B243" s="1" t="s">
        <v>22</v>
      </c>
      <c r="C243" s="2">
        <v>11</v>
      </c>
      <c r="D243" s="1" t="s">
        <v>18</v>
      </c>
      <c r="E243" s="1" t="s">
        <v>13</v>
      </c>
      <c r="F243" s="3">
        <v>0</v>
      </c>
      <c r="G243" s="1" t="s">
        <v>24</v>
      </c>
      <c r="H243" s="1" t="s">
        <v>25</v>
      </c>
      <c r="I243" s="1" t="s">
        <v>26</v>
      </c>
      <c r="J243" s="7">
        <v>112</v>
      </c>
      <c r="K243" s="7">
        <v>125.91</v>
      </c>
      <c r="L243" s="8">
        <v>1232</v>
      </c>
      <c r="M243" s="8">
        <v>1385.01</v>
      </c>
      <c r="N243">
        <v>29</v>
      </c>
      <c r="O243" t="s">
        <v>126</v>
      </c>
      <c r="P243" t="s">
        <v>119</v>
      </c>
    </row>
    <row r="244" spans="1:16" x14ac:dyDescent="0.25">
      <c r="A244" s="10">
        <v>45838</v>
      </c>
      <c r="B244" s="1" t="s">
        <v>112</v>
      </c>
      <c r="C244" s="2">
        <v>2</v>
      </c>
      <c r="D244" s="1" t="s">
        <v>13</v>
      </c>
      <c r="E244" s="1" t="s">
        <v>13</v>
      </c>
      <c r="F244" s="3">
        <v>0.05</v>
      </c>
      <c r="G244" s="1" t="s">
        <v>113</v>
      </c>
      <c r="H244" s="1" t="s">
        <v>20</v>
      </c>
      <c r="I244" s="1" t="s">
        <v>16</v>
      </c>
      <c r="J244" s="7">
        <v>9</v>
      </c>
      <c r="K244" s="7">
        <v>9.9499999999999993</v>
      </c>
      <c r="L244" s="8">
        <v>18</v>
      </c>
      <c r="M244" s="8">
        <v>19.899999999999999</v>
      </c>
      <c r="N244">
        <v>30</v>
      </c>
      <c r="O244" t="s">
        <v>126</v>
      </c>
      <c r="P244" t="s">
        <v>119</v>
      </c>
    </row>
    <row r="245" spans="1:16" x14ac:dyDescent="0.25">
      <c r="A245" s="10">
        <v>45838</v>
      </c>
      <c r="B245" s="1" t="s">
        <v>62</v>
      </c>
      <c r="C245" s="2">
        <v>10</v>
      </c>
      <c r="D245" s="1" t="s">
        <v>13</v>
      </c>
      <c r="E245" s="1" t="s">
        <v>23</v>
      </c>
      <c r="F245" s="3">
        <v>0</v>
      </c>
      <c r="G245" s="1" t="s">
        <v>63</v>
      </c>
      <c r="H245" s="1" t="s">
        <v>15</v>
      </c>
      <c r="I245" s="1" t="s">
        <v>38</v>
      </c>
      <c r="J245" s="7">
        <v>95</v>
      </c>
      <c r="K245" s="7">
        <v>106.03</v>
      </c>
      <c r="L245" s="8">
        <v>950</v>
      </c>
      <c r="M245" s="8">
        <v>1060.3</v>
      </c>
      <c r="N245">
        <v>30</v>
      </c>
      <c r="O245" t="s">
        <v>126</v>
      </c>
      <c r="P245" t="s">
        <v>119</v>
      </c>
    </row>
    <row r="246" spans="1:16" x14ac:dyDescent="0.25">
      <c r="A246" s="10">
        <v>45841</v>
      </c>
      <c r="B246" s="1" t="s">
        <v>98</v>
      </c>
      <c r="C246" s="2">
        <v>7</v>
      </c>
      <c r="D246" s="1" t="s">
        <v>13</v>
      </c>
      <c r="E246" s="1" t="s">
        <v>23</v>
      </c>
      <c r="F246" s="3">
        <v>0</v>
      </c>
      <c r="G246" s="1" t="s">
        <v>99</v>
      </c>
      <c r="H246" s="1" t="s">
        <v>43</v>
      </c>
      <c r="I246" s="1" t="s">
        <v>21</v>
      </c>
      <c r="J246" s="7">
        <v>44</v>
      </c>
      <c r="K246" s="7">
        <v>51.15</v>
      </c>
      <c r="L246" s="8">
        <v>308</v>
      </c>
      <c r="M246" s="8">
        <v>358.05</v>
      </c>
      <c r="N246">
        <v>3</v>
      </c>
      <c r="O246" t="s">
        <v>127</v>
      </c>
      <c r="P246" t="s">
        <v>119</v>
      </c>
    </row>
    <row r="247" spans="1:16" x14ac:dyDescent="0.25">
      <c r="A247" s="10">
        <v>45841</v>
      </c>
      <c r="B247" s="1" t="s">
        <v>66</v>
      </c>
      <c r="C247" s="2">
        <v>5</v>
      </c>
      <c r="D247" s="1" t="s">
        <v>13</v>
      </c>
      <c r="E247" s="1" t="s">
        <v>13</v>
      </c>
      <c r="F247" s="3">
        <v>0</v>
      </c>
      <c r="G247" s="1" t="s">
        <v>67</v>
      </c>
      <c r="H247" s="1" t="s">
        <v>15</v>
      </c>
      <c r="I247" s="1" t="s">
        <v>21</v>
      </c>
      <c r="J247" s="7">
        <v>61</v>
      </c>
      <c r="K247" s="7">
        <v>70.78</v>
      </c>
      <c r="L247" s="8">
        <v>305</v>
      </c>
      <c r="M247" s="8">
        <v>353.9</v>
      </c>
      <c r="N247">
        <v>3</v>
      </c>
      <c r="O247" t="s">
        <v>127</v>
      </c>
      <c r="P247" t="s">
        <v>119</v>
      </c>
    </row>
    <row r="248" spans="1:16" x14ac:dyDescent="0.25">
      <c r="A248" s="10">
        <v>45842</v>
      </c>
      <c r="B248" s="1" t="s">
        <v>29</v>
      </c>
      <c r="C248" s="2">
        <v>2</v>
      </c>
      <c r="D248" s="1" t="s">
        <v>13</v>
      </c>
      <c r="E248" s="1" t="s">
        <v>23</v>
      </c>
      <c r="F248" s="3">
        <v>0.05</v>
      </c>
      <c r="G248" s="1" t="s">
        <v>30</v>
      </c>
      <c r="H248" s="1" t="s">
        <v>15</v>
      </c>
      <c r="I248" s="1" t="s">
        <v>16</v>
      </c>
      <c r="J248" s="7">
        <v>12</v>
      </c>
      <c r="K248" s="7">
        <v>13.14</v>
      </c>
      <c r="L248" s="8">
        <v>24</v>
      </c>
      <c r="M248" s="8">
        <v>26.28</v>
      </c>
      <c r="N248">
        <v>4</v>
      </c>
      <c r="O248" t="s">
        <v>127</v>
      </c>
      <c r="P248" t="s">
        <v>119</v>
      </c>
    </row>
    <row r="249" spans="1:16" x14ac:dyDescent="0.25">
      <c r="A249" s="10">
        <v>45843</v>
      </c>
      <c r="B249" s="1" t="s">
        <v>112</v>
      </c>
      <c r="C249" s="2">
        <v>4</v>
      </c>
      <c r="D249" s="1" t="s">
        <v>13</v>
      </c>
      <c r="E249" s="1" t="s">
        <v>23</v>
      </c>
      <c r="F249" s="3">
        <v>0</v>
      </c>
      <c r="G249" s="1" t="s">
        <v>113</v>
      </c>
      <c r="H249" s="1" t="s">
        <v>20</v>
      </c>
      <c r="I249" s="1" t="s">
        <v>16</v>
      </c>
      <c r="J249" s="7">
        <v>9</v>
      </c>
      <c r="K249" s="7">
        <v>9.93</v>
      </c>
      <c r="L249" s="8">
        <v>36</v>
      </c>
      <c r="M249" s="8">
        <v>39.72</v>
      </c>
      <c r="N249">
        <v>5</v>
      </c>
      <c r="O249" t="s">
        <v>127</v>
      </c>
      <c r="P249" t="s">
        <v>119</v>
      </c>
    </row>
    <row r="250" spans="1:16" x14ac:dyDescent="0.25">
      <c r="A250" s="10">
        <v>45843</v>
      </c>
      <c r="B250" s="1" t="s">
        <v>70</v>
      </c>
      <c r="C250" s="2">
        <v>15</v>
      </c>
      <c r="D250" s="1" t="s">
        <v>18</v>
      </c>
      <c r="E250" s="1" t="s">
        <v>23</v>
      </c>
      <c r="F250" s="3">
        <v>0</v>
      </c>
      <c r="G250" s="1" t="s">
        <v>71</v>
      </c>
      <c r="H250" s="1" t="s">
        <v>43</v>
      </c>
      <c r="I250" s="1" t="s">
        <v>21</v>
      </c>
      <c r="J250" s="7">
        <v>52</v>
      </c>
      <c r="K250" s="7">
        <v>60.86</v>
      </c>
      <c r="L250" s="8">
        <v>780</v>
      </c>
      <c r="M250" s="8">
        <v>912.9</v>
      </c>
      <c r="N250">
        <v>5</v>
      </c>
      <c r="O250" t="s">
        <v>127</v>
      </c>
      <c r="P250" t="s">
        <v>119</v>
      </c>
    </row>
    <row r="251" spans="1:16" x14ac:dyDescent="0.25">
      <c r="A251" s="10">
        <v>45844</v>
      </c>
      <c r="B251" s="1" t="s">
        <v>88</v>
      </c>
      <c r="C251" s="2">
        <v>12</v>
      </c>
      <c r="D251" s="1" t="s">
        <v>13</v>
      </c>
      <c r="E251" s="1" t="s">
        <v>13</v>
      </c>
      <c r="F251" s="3">
        <v>0</v>
      </c>
      <c r="G251" s="1" t="s">
        <v>89</v>
      </c>
      <c r="H251" s="1" t="s">
        <v>33</v>
      </c>
      <c r="I251" s="1" t="s">
        <v>26</v>
      </c>
      <c r="J251" s="7">
        <v>76</v>
      </c>
      <c r="K251" s="7">
        <v>87.8</v>
      </c>
      <c r="L251" s="8">
        <v>912</v>
      </c>
      <c r="M251" s="8">
        <v>1053.5999999999999</v>
      </c>
      <c r="N251">
        <v>6</v>
      </c>
      <c r="O251" t="s">
        <v>127</v>
      </c>
      <c r="P251" t="s">
        <v>119</v>
      </c>
    </row>
    <row r="252" spans="1:16" x14ac:dyDescent="0.25">
      <c r="A252" s="10">
        <v>45845</v>
      </c>
      <c r="B252" s="1" t="s">
        <v>96</v>
      </c>
      <c r="C252" s="2">
        <v>9</v>
      </c>
      <c r="D252" s="1" t="s">
        <v>12</v>
      </c>
      <c r="E252" s="1" t="s">
        <v>23</v>
      </c>
      <c r="F252" s="3">
        <v>0.1</v>
      </c>
      <c r="G252" s="1" t="s">
        <v>97</v>
      </c>
      <c r="H252" s="1" t="s">
        <v>20</v>
      </c>
      <c r="I252" s="1" t="s">
        <v>21</v>
      </c>
      <c r="J252" s="7">
        <v>55</v>
      </c>
      <c r="K252" s="7">
        <v>58.25</v>
      </c>
      <c r="L252" s="8">
        <v>495</v>
      </c>
      <c r="M252" s="8">
        <v>524.25</v>
      </c>
      <c r="N252">
        <v>7</v>
      </c>
      <c r="O252" t="s">
        <v>127</v>
      </c>
      <c r="P252" t="s">
        <v>119</v>
      </c>
    </row>
    <row r="253" spans="1:16" x14ac:dyDescent="0.25">
      <c r="A253" s="10">
        <v>45845</v>
      </c>
      <c r="B253" s="1" t="s">
        <v>34</v>
      </c>
      <c r="C253" s="2">
        <v>14</v>
      </c>
      <c r="D253" s="1" t="s">
        <v>18</v>
      </c>
      <c r="E253" s="1" t="s">
        <v>13</v>
      </c>
      <c r="F253" s="3">
        <v>0</v>
      </c>
      <c r="G253" s="1" t="s">
        <v>35</v>
      </c>
      <c r="H253" s="1" t="s">
        <v>20</v>
      </c>
      <c r="I253" s="1" t="s">
        <v>16</v>
      </c>
      <c r="J253" s="7">
        <v>5</v>
      </c>
      <c r="K253" s="7">
        <v>5.89</v>
      </c>
      <c r="L253" s="8">
        <v>70</v>
      </c>
      <c r="M253" s="8">
        <v>82.46</v>
      </c>
      <c r="N253">
        <v>7</v>
      </c>
      <c r="O253" t="s">
        <v>127</v>
      </c>
      <c r="P253" t="s">
        <v>119</v>
      </c>
    </row>
    <row r="254" spans="1:16" x14ac:dyDescent="0.25">
      <c r="A254" s="10">
        <v>45846</v>
      </c>
      <c r="B254" s="1" t="s">
        <v>56</v>
      </c>
      <c r="C254" s="2">
        <v>8</v>
      </c>
      <c r="D254" s="1" t="s">
        <v>13</v>
      </c>
      <c r="E254" s="1" t="s">
        <v>23</v>
      </c>
      <c r="F254" s="3">
        <v>0</v>
      </c>
      <c r="G254" s="1" t="s">
        <v>57</v>
      </c>
      <c r="H254" s="1" t="s">
        <v>20</v>
      </c>
      <c r="I254" s="1" t="s">
        <v>26</v>
      </c>
      <c r="J254" s="7">
        <v>79</v>
      </c>
      <c r="K254" s="7">
        <v>92.01</v>
      </c>
      <c r="L254" s="8">
        <v>632</v>
      </c>
      <c r="M254" s="8">
        <v>736.08</v>
      </c>
      <c r="N254">
        <v>8</v>
      </c>
      <c r="O254" t="s">
        <v>127</v>
      </c>
      <c r="P254" t="s">
        <v>119</v>
      </c>
    </row>
    <row r="255" spans="1:16" x14ac:dyDescent="0.25">
      <c r="A255" s="10">
        <v>45847</v>
      </c>
      <c r="B255" s="1" t="s">
        <v>48</v>
      </c>
      <c r="C255" s="2">
        <v>3</v>
      </c>
      <c r="D255" s="1" t="s">
        <v>13</v>
      </c>
      <c r="E255" s="1" t="s">
        <v>13</v>
      </c>
      <c r="F255" s="3">
        <v>0</v>
      </c>
      <c r="G255" s="1" t="s">
        <v>49</v>
      </c>
      <c r="H255" s="1" t="s">
        <v>15</v>
      </c>
      <c r="I255" s="1" t="s">
        <v>26</v>
      </c>
      <c r="J255" s="7">
        <v>67</v>
      </c>
      <c r="K255" s="7">
        <v>78.97</v>
      </c>
      <c r="L255" s="8">
        <v>201</v>
      </c>
      <c r="M255" s="8">
        <v>236.91</v>
      </c>
      <c r="N255">
        <v>9</v>
      </c>
      <c r="O255" t="s">
        <v>127</v>
      </c>
      <c r="P255" t="s">
        <v>119</v>
      </c>
    </row>
    <row r="256" spans="1:16" x14ac:dyDescent="0.25">
      <c r="A256" s="10">
        <v>45847</v>
      </c>
      <c r="B256" s="1" t="s">
        <v>70</v>
      </c>
      <c r="C256" s="2">
        <v>9</v>
      </c>
      <c r="D256" s="1" t="s">
        <v>18</v>
      </c>
      <c r="E256" s="1" t="s">
        <v>23</v>
      </c>
      <c r="F256" s="3">
        <v>0</v>
      </c>
      <c r="G256" s="1" t="s">
        <v>71</v>
      </c>
      <c r="H256" s="1" t="s">
        <v>43</v>
      </c>
      <c r="I256" s="1" t="s">
        <v>21</v>
      </c>
      <c r="J256" s="7">
        <v>52</v>
      </c>
      <c r="K256" s="7">
        <v>60.44</v>
      </c>
      <c r="L256" s="8">
        <v>468</v>
      </c>
      <c r="M256" s="8">
        <v>543.96</v>
      </c>
      <c r="N256">
        <v>9</v>
      </c>
      <c r="O256" t="s">
        <v>127</v>
      </c>
      <c r="P256" t="s">
        <v>119</v>
      </c>
    </row>
    <row r="257" spans="1:16" x14ac:dyDescent="0.25">
      <c r="A257" s="10">
        <v>45847</v>
      </c>
      <c r="B257" s="1" t="s">
        <v>66</v>
      </c>
      <c r="C257" s="2">
        <v>12</v>
      </c>
      <c r="D257" s="1" t="s">
        <v>13</v>
      </c>
      <c r="E257" s="1" t="s">
        <v>23</v>
      </c>
      <c r="F257" s="3">
        <v>0</v>
      </c>
      <c r="G257" s="1" t="s">
        <v>67</v>
      </c>
      <c r="H257" s="1" t="s">
        <v>15</v>
      </c>
      <c r="I257" s="1" t="s">
        <v>21</v>
      </c>
      <c r="J257" s="7">
        <v>61</v>
      </c>
      <c r="K257" s="7">
        <v>66.83</v>
      </c>
      <c r="L257" s="8">
        <v>732</v>
      </c>
      <c r="M257" s="8">
        <v>801.96</v>
      </c>
      <c r="N257">
        <v>9</v>
      </c>
      <c r="O257" t="s">
        <v>127</v>
      </c>
      <c r="P257" t="s">
        <v>119</v>
      </c>
    </row>
    <row r="258" spans="1:16" x14ac:dyDescent="0.25">
      <c r="A258" s="10">
        <v>45847</v>
      </c>
      <c r="B258" s="1" t="s">
        <v>102</v>
      </c>
      <c r="C258" s="2">
        <v>8</v>
      </c>
      <c r="D258" s="1" t="s">
        <v>18</v>
      </c>
      <c r="E258" s="1" t="s">
        <v>23</v>
      </c>
      <c r="F258" s="3">
        <v>0</v>
      </c>
      <c r="G258" s="1" t="s">
        <v>103</v>
      </c>
      <c r="H258" s="1" t="s">
        <v>15</v>
      </c>
      <c r="I258" s="1" t="s">
        <v>38</v>
      </c>
      <c r="J258" s="7">
        <v>144</v>
      </c>
      <c r="K258" s="7">
        <v>161.25</v>
      </c>
      <c r="L258" s="8">
        <v>1152</v>
      </c>
      <c r="M258" s="8">
        <v>1290</v>
      </c>
      <c r="N258">
        <v>9</v>
      </c>
      <c r="O258" t="s">
        <v>127</v>
      </c>
      <c r="P258" t="s">
        <v>119</v>
      </c>
    </row>
    <row r="259" spans="1:16" x14ac:dyDescent="0.25">
      <c r="A259" s="10">
        <v>45847</v>
      </c>
      <c r="B259" s="1" t="s">
        <v>52</v>
      </c>
      <c r="C259" s="2">
        <v>8</v>
      </c>
      <c r="D259" s="1" t="s">
        <v>13</v>
      </c>
      <c r="E259" s="1" t="s">
        <v>13</v>
      </c>
      <c r="F259" s="3">
        <v>0</v>
      </c>
      <c r="G259" s="1" t="s">
        <v>53</v>
      </c>
      <c r="H259" s="1" t="s">
        <v>25</v>
      </c>
      <c r="I259" s="1" t="s">
        <v>21</v>
      </c>
      <c r="J259" s="7">
        <v>58</v>
      </c>
      <c r="K259" s="7">
        <v>63.95</v>
      </c>
      <c r="L259" s="8">
        <v>464</v>
      </c>
      <c r="M259" s="8">
        <v>511.6</v>
      </c>
      <c r="N259">
        <v>9</v>
      </c>
      <c r="O259" t="s">
        <v>127</v>
      </c>
      <c r="P259" t="s">
        <v>119</v>
      </c>
    </row>
    <row r="260" spans="1:16" x14ac:dyDescent="0.25">
      <c r="A260" s="10">
        <v>45848</v>
      </c>
      <c r="B260" s="1" t="s">
        <v>100</v>
      </c>
      <c r="C260" s="2">
        <v>11</v>
      </c>
      <c r="D260" s="1" t="s">
        <v>13</v>
      </c>
      <c r="E260" s="1" t="s">
        <v>23</v>
      </c>
      <c r="F260" s="3">
        <v>0</v>
      </c>
      <c r="G260" s="1" t="s">
        <v>101</v>
      </c>
      <c r="H260" s="1" t="s">
        <v>25</v>
      </c>
      <c r="I260" s="1" t="s">
        <v>26</v>
      </c>
      <c r="J260" s="7">
        <v>88</v>
      </c>
      <c r="K260" s="7">
        <v>103.34</v>
      </c>
      <c r="L260" s="8">
        <v>968</v>
      </c>
      <c r="M260" s="8">
        <v>1136.74</v>
      </c>
      <c r="N260">
        <v>10</v>
      </c>
      <c r="O260" t="s">
        <v>127</v>
      </c>
      <c r="P260" t="s">
        <v>119</v>
      </c>
    </row>
    <row r="261" spans="1:16" x14ac:dyDescent="0.25">
      <c r="A261" s="10">
        <v>45849</v>
      </c>
      <c r="B261" s="1" t="s">
        <v>68</v>
      </c>
      <c r="C261" s="2">
        <v>1</v>
      </c>
      <c r="D261" s="1" t="s">
        <v>13</v>
      </c>
      <c r="E261" s="1" t="s">
        <v>23</v>
      </c>
      <c r="F261" s="3">
        <v>0</v>
      </c>
      <c r="G261" s="1" t="s">
        <v>69</v>
      </c>
      <c r="H261" s="1" t="s">
        <v>15</v>
      </c>
      <c r="I261" s="1" t="s">
        <v>38</v>
      </c>
      <c r="J261" s="7">
        <v>130</v>
      </c>
      <c r="K261" s="7">
        <v>148.85</v>
      </c>
      <c r="L261" s="8">
        <v>130</v>
      </c>
      <c r="M261" s="8">
        <v>148.85</v>
      </c>
      <c r="N261">
        <v>11</v>
      </c>
      <c r="O261" t="s">
        <v>127</v>
      </c>
      <c r="P261" t="s">
        <v>119</v>
      </c>
    </row>
    <row r="262" spans="1:16" x14ac:dyDescent="0.25">
      <c r="A262" s="10">
        <v>45850</v>
      </c>
      <c r="B262" s="1" t="s">
        <v>94</v>
      </c>
      <c r="C262" s="2">
        <v>12</v>
      </c>
      <c r="D262" s="1" t="s">
        <v>13</v>
      </c>
      <c r="E262" s="1" t="s">
        <v>23</v>
      </c>
      <c r="F262" s="3">
        <v>0</v>
      </c>
      <c r="G262" s="1" t="s">
        <v>95</v>
      </c>
      <c r="H262" s="1" t="s">
        <v>20</v>
      </c>
      <c r="I262" s="1" t="s">
        <v>26</v>
      </c>
      <c r="J262" s="7">
        <v>56</v>
      </c>
      <c r="K262" s="7">
        <v>64.81</v>
      </c>
      <c r="L262" s="8">
        <v>672</v>
      </c>
      <c r="M262" s="8">
        <v>777.72</v>
      </c>
      <c r="N262">
        <v>12</v>
      </c>
      <c r="O262" t="s">
        <v>127</v>
      </c>
      <c r="P262" t="s">
        <v>119</v>
      </c>
    </row>
    <row r="263" spans="1:16" x14ac:dyDescent="0.25">
      <c r="A263" s="10">
        <v>45851</v>
      </c>
      <c r="B263" s="1" t="s">
        <v>88</v>
      </c>
      <c r="C263" s="2">
        <v>10</v>
      </c>
      <c r="D263" s="1" t="s">
        <v>18</v>
      </c>
      <c r="E263" s="1" t="s">
        <v>23</v>
      </c>
      <c r="F263" s="3">
        <v>0</v>
      </c>
      <c r="G263" s="1" t="s">
        <v>89</v>
      </c>
      <c r="H263" s="1" t="s">
        <v>33</v>
      </c>
      <c r="I263" s="1" t="s">
        <v>26</v>
      </c>
      <c r="J263" s="7">
        <v>76</v>
      </c>
      <c r="K263" s="7">
        <v>87.87</v>
      </c>
      <c r="L263" s="8">
        <v>760</v>
      </c>
      <c r="M263" s="8">
        <v>878.7</v>
      </c>
      <c r="N263">
        <v>13</v>
      </c>
      <c r="O263" t="s">
        <v>127</v>
      </c>
      <c r="P263" t="s">
        <v>119</v>
      </c>
    </row>
    <row r="264" spans="1:16" x14ac:dyDescent="0.25">
      <c r="A264" s="10">
        <v>45852</v>
      </c>
      <c r="B264" s="1" t="s">
        <v>27</v>
      </c>
      <c r="C264" s="2">
        <v>3</v>
      </c>
      <c r="D264" s="1" t="s">
        <v>13</v>
      </c>
      <c r="E264" s="1" t="s">
        <v>13</v>
      </c>
      <c r="F264" s="3">
        <v>0</v>
      </c>
      <c r="G264" s="1" t="s">
        <v>28</v>
      </c>
      <c r="H264" s="1" t="s">
        <v>25</v>
      </c>
      <c r="I264" s="1" t="s">
        <v>26</v>
      </c>
      <c r="J264" s="7">
        <v>47</v>
      </c>
      <c r="K264" s="7">
        <v>51.06</v>
      </c>
      <c r="L264" s="8">
        <v>141</v>
      </c>
      <c r="M264" s="8">
        <v>153.18</v>
      </c>
      <c r="N264">
        <v>14</v>
      </c>
      <c r="O264" t="s">
        <v>127</v>
      </c>
      <c r="P264" t="s">
        <v>119</v>
      </c>
    </row>
    <row r="265" spans="1:16" x14ac:dyDescent="0.25">
      <c r="A265" s="10">
        <v>45853</v>
      </c>
      <c r="B265" s="1" t="s">
        <v>104</v>
      </c>
      <c r="C265" s="2">
        <v>11</v>
      </c>
      <c r="D265" s="1" t="s">
        <v>13</v>
      </c>
      <c r="E265" s="1" t="s">
        <v>23</v>
      </c>
      <c r="F265" s="3">
        <v>0</v>
      </c>
      <c r="G265" s="1" t="s">
        <v>105</v>
      </c>
      <c r="H265" s="1" t="s">
        <v>33</v>
      </c>
      <c r="I265" s="1" t="s">
        <v>26</v>
      </c>
      <c r="J265" s="7">
        <v>90</v>
      </c>
      <c r="K265" s="7">
        <v>102.94</v>
      </c>
      <c r="L265" s="8">
        <v>990</v>
      </c>
      <c r="M265" s="8">
        <v>1132.3399999999999</v>
      </c>
      <c r="N265">
        <v>15</v>
      </c>
      <c r="O265" t="s">
        <v>127</v>
      </c>
      <c r="P265" t="s">
        <v>119</v>
      </c>
    </row>
    <row r="266" spans="1:16" x14ac:dyDescent="0.25">
      <c r="A266" s="10">
        <v>45854</v>
      </c>
      <c r="B266" s="1" t="s">
        <v>86</v>
      </c>
      <c r="C266" s="2">
        <v>3</v>
      </c>
      <c r="D266" s="1" t="s">
        <v>18</v>
      </c>
      <c r="E266" s="1" t="s">
        <v>23</v>
      </c>
      <c r="F266" s="3">
        <v>0</v>
      </c>
      <c r="G266" s="1" t="s">
        <v>87</v>
      </c>
      <c r="H266" s="1" t="s">
        <v>20</v>
      </c>
      <c r="I266" s="1" t="s">
        <v>21</v>
      </c>
      <c r="J266" s="7">
        <v>53</v>
      </c>
      <c r="K266" s="7">
        <v>59.84</v>
      </c>
      <c r="L266" s="8">
        <v>159</v>
      </c>
      <c r="M266" s="8">
        <v>179.52</v>
      </c>
      <c r="N266">
        <v>16</v>
      </c>
      <c r="O266" t="s">
        <v>127</v>
      </c>
      <c r="P266" t="s">
        <v>119</v>
      </c>
    </row>
    <row r="267" spans="1:16" x14ac:dyDescent="0.25">
      <c r="A267" s="10">
        <v>45856</v>
      </c>
      <c r="B267" s="1" t="s">
        <v>17</v>
      </c>
      <c r="C267" s="2">
        <v>13</v>
      </c>
      <c r="D267" s="1" t="s">
        <v>13</v>
      </c>
      <c r="E267" s="1" t="s">
        <v>23</v>
      </c>
      <c r="F267" s="3">
        <v>0</v>
      </c>
      <c r="G267" s="1" t="s">
        <v>19</v>
      </c>
      <c r="H267" s="1" t="s">
        <v>20</v>
      </c>
      <c r="I267" s="1" t="s">
        <v>21</v>
      </c>
      <c r="J267" s="7">
        <v>48</v>
      </c>
      <c r="K267" s="7">
        <v>54.95</v>
      </c>
      <c r="L267" s="8">
        <v>624</v>
      </c>
      <c r="M267" s="8">
        <v>714.35</v>
      </c>
      <c r="N267">
        <v>18</v>
      </c>
      <c r="O267" t="s">
        <v>127</v>
      </c>
      <c r="P267" t="s">
        <v>119</v>
      </c>
    </row>
    <row r="268" spans="1:16" x14ac:dyDescent="0.25">
      <c r="A268" s="10">
        <v>45857</v>
      </c>
      <c r="B268" s="1" t="s">
        <v>17</v>
      </c>
      <c r="C268" s="2">
        <v>9</v>
      </c>
      <c r="D268" s="1" t="s">
        <v>18</v>
      </c>
      <c r="E268" s="1" t="s">
        <v>23</v>
      </c>
      <c r="F268" s="3">
        <v>0</v>
      </c>
      <c r="G268" s="1" t="s">
        <v>19</v>
      </c>
      <c r="H268" s="1" t="s">
        <v>20</v>
      </c>
      <c r="I268" s="1" t="s">
        <v>21</v>
      </c>
      <c r="J268" s="7">
        <v>48</v>
      </c>
      <c r="K268" s="7">
        <v>53.15</v>
      </c>
      <c r="L268" s="8">
        <v>432</v>
      </c>
      <c r="M268" s="8">
        <v>478.34999999999997</v>
      </c>
      <c r="N268">
        <v>19</v>
      </c>
      <c r="O268" t="s">
        <v>127</v>
      </c>
      <c r="P268" t="s">
        <v>119</v>
      </c>
    </row>
    <row r="269" spans="1:16" x14ac:dyDescent="0.25">
      <c r="A269" s="10">
        <v>45857</v>
      </c>
      <c r="B269" s="1" t="s">
        <v>88</v>
      </c>
      <c r="C269" s="2">
        <v>15</v>
      </c>
      <c r="D269" s="1" t="s">
        <v>18</v>
      </c>
      <c r="E269" s="1" t="s">
        <v>13</v>
      </c>
      <c r="F269" s="3">
        <v>0</v>
      </c>
      <c r="G269" s="1" t="s">
        <v>89</v>
      </c>
      <c r="H269" s="1" t="s">
        <v>33</v>
      </c>
      <c r="I269" s="1" t="s">
        <v>26</v>
      </c>
      <c r="J269" s="7">
        <v>76</v>
      </c>
      <c r="K269" s="7">
        <v>83.14</v>
      </c>
      <c r="L269" s="8">
        <v>1140</v>
      </c>
      <c r="M269" s="8">
        <v>1247.0999999999999</v>
      </c>
      <c r="N269">
        <v>19</v>
      </c>
      <c r="O269" t="s">
        <v>127</v>
      </c>
      <c r="P269" t="s">
        <v>119</v>
      </c>
    </row>
    <row r="270" spans="1:16" x14ac:dyDescent="0.25">
      <c r="A270" s="10">
        <v>45859</v>
      </c>
      <c r="B270" s="1" t="s">
        <v>112</v>
      </c>
      <c r="C270" s="2">
        <v>8</v>
      </c>
      <c r="D270" s="1" t="s">
        <v>12</v>
      </c>
      <c r="E270" s="1" t="s">
        <v>23</v>
      </c>
      <c r="F270" s="3">
        <v>0.05</v>
      </c>
      <c r="G270" s="1" t="s">
        <v>113</v>
      </c>
      <c r="H270" s="1" t="s">
        <v>20</v>
      </c>
      <c r="I270" s="1" t="s">
        <v>16</v>
      </c>
      <c r="J270" s="7">
        <v>9</v>
      </c>
      <c r="K270" s="7">
        <v>9.66</v>
      </c>
      <c r="L270" s="8">
        <v>72</v>
      </c>
      <c r="M270" s="8">
        <v>77.28</v>
      </c>
      <c r="N270">
        <v>21</v>
      </c>
      <c r="O270" t="s">
        <v>127</v>
      </c>
      <c r="P270" t="s">
        <v>119</v>
      </c>
    </row>
    <row r="271" spans="1:16" x14ac:dyDescent="0.25">
      <c r="A271" s="10">
        <v>45859</v>
      </c>
      <c r="B271" s="1" t="s">
        <v>104</v>
      </c>
      <c r="C271" s="2">
        <v>12</v>
      </c>
      <c r="D271" s="1" t="s">
        <v>12</v>
      </c>
      <c r="E271" s="1" t="s">
        <v>13</v>
      </c>
      <c r="F271" s="3">
        <v>0</v>
      </c>
      <c r="G271" s="1" t="s">
        <v>105</v>
      </c>
      <c r="H271" s="1" t="s">
        <v>33</v>
      </c>
      <c r="I271" s="1" t="s">
        <v>26</v>
      </c>
      <c r="J271" s="7">
        <v>90</v>
      </c>
      <c r="K271" s="7">
        <v>101.61</v>
      </c>
      <c r="L271" s="8">
        <v>1080</v>
      </c>
      <c r="M271" s="8">
        <v>1219.32</v>
      </c>
      <c r="N271">
        <v>21</v>
      </c>
      <c r="O271" t="s">
        <v>127</v>
      </c>
      <c r="P271" t="s">
        <v>119</v>
      </c>
    </row>
    <row r="272" spans="1:16" x14ac:dyDescent="0.25">
      <c r="A272" s="10">
        <v>45860</v>
      </c>
      <c r="B272" s="1" t="s">
        <v>44</v>
      </c>
      <c r="C272" s="2">
        <v>14</v>
      </c>
      <c r="D272" s="1" t="s">
        <v>18</v>
      </c>
      <c r="E272" s="1" t="s">
        <v>13</v>
      </c>
      <c r="F272" s="3">
        <v>0</v>
      </c>
      <c r="G272" s="1" t="s">
        <v>45</v>
      </c>
      <c r="H272" s="1" t="s">
        <v>15</v>
      </c>
      <c r="I272" s="1" t="s">
        <v>38</v>
      </c>
      <c r="J272" s="7">
        <v>110</v>
      </c>
      <c r="K272" s="7">
        <v>123.54</v>
      </c>
      <c r="L272" s="8">
        <v>1540</v>
      </c>
      <c r="M272" s="8">
        <v>1729.5600000000002</v>
      </c>
      <c r="N272">
        <v>22</v>
      </c>
      <c r="O272" t="s">
        <v>127</v>
      </c>
      <c r="P272" t="s">
        <v>119</v>
      </c>
    </row>
    <row r="273" spans="1:16" x14ac:dyDescent="0.25">
      <c r="A273" s="10">
        <v>45860</v>
      </c>
      <c r="B273" s="1" t="s">
        <v>108</v>
      </c>
      <c r="C273" s="2">
        <v>12</v>
      </c>
      <c r="D273" s="1" t="s">
        <v>18</v>
      </c>
      <c r="E273" s="1" t="s">
        <v>23</v>
      </c>
      <c r="F273" s="3">
        <v>0</v>
      </c>
      <c r="G273" s="1" t="s">
        <v>109</v>
      </c>
      <c r="H273" s="1" t="s">
        <v>43</v>
      </c>
      <c r="I273" s="1" t="s">
        <v>26</v>
      </c>
      <c r="J273" s="7">
        <v>65</v>
      </c>
      <c r="K273" s="7">
        <v>72.989999999999995</v>
      </c>
      <c r="L273" s="8">
        <v>780</v>
      </c>
      <c r="M273" s="8">
        <v>875.87999999999988</v>
      </c>
      <c r="N273">
        <v>22</v>
      </c>
      <c r="O273" t="s">
        <v>127</v>
      </c>
      <c r="P273" t="s">
        <v>119</v>
      </c>
    </row>
    <row r="274" spans="1:16" x14ac:dyDescent="0.25">
      <c r="A274" s="10">
        <v>45861</v>
      </c>
      <c r="B274" s="1" t="s">
        <v>60</v>
      </c>
      <c r="C274" s="2">
        <v>5</v>
      </c>
      <c r="D274" s="1" t="s">
        <v>18</v>
      </c>
      <c r="E274" s="1" t="s">
        <v>13</v>
      </c>
      <c r="F274" s="3">
        <v>0</v>
      </c>
      <c r="G274" s="1" t="s">
        <v>61</v>
      </c>
      <c r="H274" s="1" t="s">
        <v>15</v>
      </c>
      <c r="I274" s="1" t="s">
        <v>26</v>
      </c>
      <c r="J274" s="7">
        <v>84</v>
      </c>
      <c r="K274" s="7">
        <v>97.29</v>
      </c>
      <c r="L274" s="8">
        <v>420</v>
      </c>
      <c r="M274" s="8">
        <v>486.45000000000005</v>
      </c>
      <c r="N274">
        <v>23</v>
      </c>
      <c r="O274" t="s">
        <v>127</v>
      </c>
      <c r="P274" t="s">
        <v>119</v>
      </c>
    </row>
    <row r="275" spans="1:16" x14ac:dyDescent="0.25">
      <c r="A275" s="10">
        <v>45861</v>
      </c>
      <c r="B275" s="1" t="s">
        <v>22</v>
      </c>
      <c r="C275" s="2">
        <v>7</v>
      </c>
      <c r="D275" s="1" t="s">
        <v>12</v>
      </c>
      <c r="E275" s="1" t="s">
        <v>13</v>
      </c>
      <c r="F275" s="3">
        <v>0.08</v>
      </c>
      <c r="G275" s="1" t="s">
        <v>24</v>
      </c>
      <c r="H275" s="1" t="s">
        <v>25</v>
      </c>
      <c r="I275" s="1" t="s">
        <v>26</v>
      </c>
      <c r="J275" s="7">
        <v>112</v>
      </c>
      <c r="K275" s="7">
        <v>114.76</v>
      </c>
      <c r="L275" s="8">
        <v>784</v>
      </c>
      <c r="M275" s="8">
        <v>803.32</v>
      </c>
      <c r="N275">
        <v>23</v>
      </c>
      <c r="O275" t="s">
        <v>127</v>
      </c>
      <c r="P275" t="s">
        <v>119</v>
      </c>
    </row>
    <row r="276" spans="1:16" x14ac:dyDescent="0.25">
      <c r="A276" s="10">
        <v>45864</v>
      </c>
      <c r="B276" s="1" t="s">
        <v>112</v>
      </c>
      <c r="C276" s="2">
        <v>14</v>
      </c>
      <c r="D276" s="1" t="s">
        <v>12</v>
      </c>
      <c r="E276" s="1" t="s">
        <v>13</v>
      </c>
      <c r="F276" s="3">
        <v>0</v>
      </c>
      <c r="G276" s="1" t="s">
        <v>113</v>
      </c>
      <c r="H276" s="1" t="s">
        <v>20</v>
      </c>
      <c r="I276" s="1" t="s">
        <v>16</v>
      </c>
      <c r="J276" s="7">
        <v>9</v>
      </c>
      <c r="K276" s="7">
        <v>10.050000000000001</v>
      </c>
      <c r="L276" s="8">
        <v>126</v>
      </c>
      <c r="M276" s="8">
        <v>140.70000000000002</v>
      </c>
      <c r="N276">
        <v>26</v>
      </c>
      <c r="O276" t="s">
        <v>127</v>
      </c>
      <c r="P276" t="s">
        <v>119</v>
      </c>
    </row>
    <row r="277" spans="1:16" x14ac:dyDescent="0.25">
      <c r="A277" s="10">
        <v>45867</v>
      </c>
      <c r="B277" s="1" t="s">
        <v>44</v>
      </c>
      <c r="C277" s="2">
        <v>6</v>
      </c>
      <c r="D277" s="1" t="s">
        <v>18</v>
      </c>
      <c r="E277" s="1" t="s">
        <v>23</v>
      </c>
      <c r="F277" s="3">
        <v>0</v>
      </c>
      <c r="G277" s="1" t="s">
        <v>45</v>
      </c>
      <c r="H277" s="1" t="s">
        <v>15</v>
      </c>
      <c r="I277" s="1" t="s">
        <v>38</v>
      </c>
      <c r="J277" s="7">
        <v>110</v>
      </c>
      <c r="K277" s="7">
        <v>126.43</v>
      </c>
      <c r="L277" s="8">
        <v>660</v>
      </c>
      <c r="M277" s="8">
        <v>758.58</v>
      </c>
      <c r="N277">
        <v>29</v>
      </c>
      <c r="O277" t="s">
        <v>127</v>
      </c>
      <c r="P277" t="s">
        <v>119</v>
      </c>
    </row>
    <row r="278" spans="1:16" x14ac:dyDescent="0.25">
      <c r="A278" s="10">
        <v>45867</v>
      </c>
      <c r="B278" s="1" t="s">
        <v>64</v>
      </c>
      <c r="C278" s="2">
        <v>3</v>
      </c>
      <c r="D278" s="1" t="s">
        <v>13</v>
      </c>
      <c r="E278" s="1" t="s">
        <v>23</v>
      </c>
      <c r="F278" s="3">
        <v>0</v>
      </c>
      <c r="G278" s="1" t="s">
        <v>65</v>
      </c>
      <c r="H278" s="1" t="s">
        <v>25</v>
      </c>
      <c r="I278" s="1" t="s">
        <v>26</v>
      </c>
      <c r="J278" s="7">
        <v>60</v>
      </c>
      <c r="K278" s="7">
        <v>67.760000000000005</v>
      </c>
      <c r="L278" s="8">
        <v>180</v>
      </c>
      <c r="M278" s="8">
        <v>203.28000000000003</v>
      </c>
      <c r="N278">
        <v>29</v>
      </c>
      <c r="O278" t="s">
        <v>127</v>
      </c>
      <c r="P278" t="s">
        <v>119</v>
      </c>
    </row>
    <row r="279" spans="1:16" x14ac:dyDescent="0.25">
      <c r="A279" s="10">
        <v>45867</v>
      </c>
      <c r="B279" s="1" t="s">
        <v>88</v>
      </c>
      <c r="C279" s="2">
        <v>8</v>
      </c>
      <c r="D279" s="1" t="s">
        <v>13</v>
      </c>
      <c r="E279" s="1" t="s">
        <v>13</v>
      </c>
      <c r="F279" s="3">
        <v>0</v>
      </c>
      <c r="G279" s="1" t="s">
        <v>89</v>
      </c>
      <c r="H279" s="1" t="s">
        <v>33</v>
      </c>
      <c r="I279" s="1" t="s">
        <v>26</v>
      </c>
      <c r="J279" s="7">
        <v>76</v>
      </c>
      <c r="K279" s="7">
        <v>87.09</v>
      </c>
      <c r="L279" s="8">
        <v>608</v>
      </c>
      <c r="M279" s="8">
        <v>696.72</v>
      </c>
      <c r="N279">
        <v>29</v>
      </c>
      <c r="O279" t="s">
        <v>127</v>
      </c>
      <c r="P279" t="s">
        <v>119</v>
      </c>
    </row>
    <row r="280" spans="1:16" x14ac:dyDescent="0.25">
      <c r="A280" s="10">
        <v>45868</v>
      </c>
      <c r="B280" s="1" t="s">
        <v>82</v>
      </c>
      <c r="C280" s="2">
        <v>14</v>
      </c>
      <c r="D280" s="1" t="s">
        <v>18</v>
      </c>
      <c r="E280" s="1" t="s">
        <v>23</v>
      </c>
      <c r="F280" s="3">
        <v>0</v>
      </c>
      <c r="G280" s="1" t="s">
        <v>83</v>
      </c>
      <c r="H280" s="1" t="s">
        <v>33</v>
      </c>
      <c r="I280" s="1" t="s">
        <v>16</v>
      </c>
      <c r="J280" s="7">
        <v>11</v>
      </c>
      <c r="K280" s="7">
        <v>12.75</v>
      </c>
      <c r="L280" s="8">
        <v>154</v>
      </c>
      <c r="M280" s="8">
        <v>178.5</v>
      </c>
      <c r="N280">
        <v>30</v>
      </c>
      <c r="O280" t="s">
        <v>127</v>
      </c>
      <c r="P280" t="s">
        <v>119</v>
      </c>
    </row>
    <row r="281" spans="1:16" x14ac:dyDescent="0.25">
      <c r="A281" s="10">
        <v>45868</v>
      </c>
      <c r="B281" s="1" t="s">
        <v>54</v>
      </c>
      <c r="C281" s="2">
        <v>6</v>
      </c>
      <c r="D281" s="1" t="s">
        <v>18</v>
      </c>
      <c r="E281" s="1" t="s">
        <v>13</v>
      </c>
      <c r="F281" s="3">
        <v>0</v>
      </c>
      <c r="G281" s="1" t="s">
        <v>55</v>
      </c>
      <c r="H281" s="1" t="s">
        <v>43</v>
      </c>
      <c r="I281" s="1" t="s">
        <v>26</v>
      </c>
      <c r="J281" s="7">
        <v>71</v>
      </c>
      <c r="K281" s="7">
        <v>81.39</v>
      </c>
      <c r="L281" s="8">
        <v>426</v>
      </c>
      <c r="M281" s="8">
        <v>488.34000000000003</v>
      </c>
      <c r="N281">
        <v>30</v>
      </c>
      <c r="O281" t="s">
        <v>127</v>
      </c>
      <c r="P281" t="s">
        <v>119</v>
      </c>
    </row>
    <row r="282" spans="1:16" x14ac:dyDescent="0.25">
      <c r="A282" s="10">
        <v>45869</v>
      </c>
      <c r="B282" s="1" t="s">
        <v>44</v>
      </c>
      <c r="C282" s="2">
        <v>14</v>
      </c>
      <c r="D282" s="1" t="s">
        <v>18</v>
      </c>
      <c r="E282" s="1" t="s">
        <v>13</v>
      </c>
      <c r="F282" s="3">
        <v>0</v>
      </c>
      <c r="G282" s="1" t="s">
        <v>45</v>
      </c>
      <c r="H282" s="1" t="s">
        <v>15</v>
      </c>
      <c r="I282" s="1" t="s">
        <v>38</v>
      </c>
      <c r="J282" s="7">
        <v>110</v>
      </c>
      <c r="K282" s="7">
        <v>122.24</v>
      </c>
      <c r="L282" s="8">
        <v>1540</v>
      </c>
      <c r="M282" s="8">
        <v>1711.36</v>
      </c>
      <c r="N282">
        <v>31</v>
      </c>
      <c r="O282" t="s">
        <v>127</v>
      </c>
      <c r="P282" t="s">
        <v>119</v>
      </c>
    </row>
    <row r="283" spans="1:16" x14ac:dyDescent="0.25">
      <c r="A283" s="10">
        <v>45869</v>
      </c>
      <c r="B283" s="1" t="s">
        <v>11</v>
      </c>
      <c r="C283" s="2">
        <v>13</v>
      </c>
      <c r="D283" s="1" t="s">
        <v>13</v>
      </c>
      <c r="E283" s="1" t="s">
        <v>23</v>
      </c>
      <c r="F283" s="3">
        <v>0</v>
      </c>
      <c r="G283" s="1" t="s">
        <v>14</v>
      </c>
      <c r="H283" s="1" t="s">
        <v>15</v>
      </c>
      <c r="I283" s="1" t="s">
        <v>16</v>
      </c>
      <c r="J283" s="7">
        <v>7</v>
      </c>
      <c r="K283" s="7">
        <v>7.68</v>
      </c>
      <c r="L283" s="8">
        <v>91</v>
      </c>
      <c r="M283" s="8">
        <v>99.84</v>
      </c>
      <c r="N283">
        <v>31</v>
      </c>
      <c r="O283" t="s">
        <v>127</v>
      </c>
      <c r="P283" t="s">
        <v>119</v>
      </c>
    </row>
    <row r="284" spans="1:16" x14ac:dyDescent="0.25">
      <c r="A284" s="10">
        <v>45869</v>
      </c>
      <c r="B284" s="1" t="s">
        <v>92</v>
      </c>
      <c r="C284" s="2">
        <v>4</v>
      </c>
      <c r="D284" s="1" t="s">
        <v>18</v>
      </c>
      <c r="E284" s="1" t="s">
        <v>13</v>
      </c>
      <c r="F284" s="3">
        <v>0</v>
      </c>
      <c r="G284" s="1" t="s">
        <v>93</v>
      </c>
      <c r="H284" s="1" t="s">
        <v>33</v>
      </c>
      <c r="I284" s="1" t="s">
        <v>26</v>
      </c>
      <c r="J284" s="7">
        <v>72</v>
      </c>
      <c r="K284" s="7">
        <v>80.77</v>
      </c>
      <c r="L284" s="8">
        <v>288</v>
      </c>
      <c r="M284" s="8">
        <v>323.08</v>
      </c>
      <c r="N284">
        <v>31</v>
      </c>
      <c r="O284" t="s">
        <v>127</v>
      </c>
      <c r="P284" t="s">
        <v>119</v>
      </c>
    </row>
    <row r="285" spans="1:16" x14ac:dyDescent="0.25">
      <c r="A285" s="10">
        <v>45871</v>
      </c>
      <c r="B285" s="1" t="s">
        <v>48</v>
      </c>
      <c r="C285" s="2">
        <v>2</v>
      </c>
      <c r="D285" s="1" t="s">
        <v>13</v>
      </c>
      <c r="E285" s="1" t="s">
        <v>13</v>
      </c>
      <c r="F285" s="3">
        <v>0</v>
      </c>
      <c r="G285" s="1" t="s">
        <v>49</v>
      </c>
      <c r="H285" s="1" t="s">
        <v>15</v>
      </c>
      <c r="I285" s="1" t="s">
        <v>26</v>
      </c>
      <c r="J285" s="7">
        <v>67</v>
      </c>
      <c r="K285" s="7">
        <v>78.709999999999994</v>
      </c>
      <c r="L285" s="8">
        <v>134</v>
      </c>
      <c r="M285" s="8">
        <v>157.41999999999999</v>
      </c>
      <c r="N285">
        <v>2</v>
      </c>
      <c r="O285" t="s">
        <v>128</v>
      </c>
      <c r="P285" t="s">
        <v>119</v>
      </c>
    </row>
    <row r="286" spans="1:16" x14ac:dyDescent="0.25">
      <c r="A286" s="10">
        <v>45872</v>
      </c>
      <c r="B286" s="1" t="s">
        <v>27</v>
      </c>
      <c r="C286" s="2">
        <v>14</v>
      </c>
      <c r="D286" s="1" t="s">
        <v>13</v>
      </c>
      <c r="E286" s="1" t="s">
        <v>23</v>
      </c>
      <c r="F286" s="3">
        <v>0</v>
      </c>
      <c r="G286" s="1" t="s">
        <v>28</v>
      </c>
      <c r="H286" s="1" t="s">
        <v>25</v>
      </c>
      <c r="I286" s="1" t="s">
        <v>26</v>
      </c>
      <c r="J286" s="7">
        <v>47</v>
      </c>
      <c r="K286" s="7">
        <v>51.01</v>
      </c>
      <c r="L286" s="8">
        <v>658</v>
      </c>
      <c r="M286" s="8">
        <v>714.14</v>
      </c>
      <c r="N286">
        <v>3</v>
      </c>
      <c r="O286" t="s">
        <v>128</v>
      </c>
      <c r="P286" t="s">
        <v>119</v>
      </c>
    </row>
    <row r="287" spans="1:16" x14ac:dyDescent="0.25">
      <c r="A287" s="10">
        <v>45873</v>
      </c>
      <c r="B287" s="1" t="s">
        <v>29</v>
      </c>
      <c r="C287" s="2">
        <v>14</v>
      </c>
      <c r="D287" s="1" t="s">
        <v>13</v>
      </c>
      <c r="E287" s="1" t="s">
        <v>23</v>
      </c>
      <c r="F287" s="3">
        <v>0</v>
      </c>
      <c r="G287" s="1" t="s">
        <v>30</v>
      </c>
      <c r="H287" s="1" t="s">
        <v>15</v>
      </c>
      <c r="I287" s="1" t="s">
        <v>16</v>
      </c>
      <c r="J287" s="7">
        <v>12</v>
      </c>
      <c r="K287" s="7">
        <v>13.02</v>
      </c>
      <c r="L287" s="8">
        <v>168</v>
      </c>
      <c r="M287" s="8">
        <v>182.28</v>
      </c>
      <c r="N287">
        <v>4</v>
      </c>
      <c r="O287" t="s">
        <v>128</v>
      </c>
      <c r="P287" t="s">
        <v>119</v>
      </c>
    </row>
    <row r="288" spans="1:16" x14ac:dyDescent="0.25">
      <c r="A288" s="10">
        <v>45873</v>
      </c>
      <c r="B288" s="1" t="s">
        <v>96</v>
      </c>
      <c r="C288" s="2">
        <v>2</v>
      </c>
      <c r="D288" s="1" t="s">
        <v>18</v>
      </c>
      <c r="E288" s="1" t="s">
        <v>13</v>
      </c>
      <c r="F288" s="3">
        <v>0</v>
      </c>
      <c r="G288" s="1" t="s">
        <v>97</v>
      </c>
      <c r="H288" s="1" t="s">
        <v>20</v>
      </c>
      <c r="I288" s="1" t="s">
        <v>21</v>
      </c>
      <c r="J288" s="7">
        <v>55</v>
      </c>
      <c r="K288" s="7">
        <v>61.39</v>
      </c>
      <c r="L288" s="8">
        <v>110</v>
      </c>
      <c r="M288" s="8">
        <v>122.78</v>
      </c>
      <c r="N288">
        <v>4</v>
      </c>
      <c r="O288" t="s">
        <v>128</v>
      </c>
      <c r="P288" t="s">
        <v>119</v>
      </c>
    </row>
    <row r="289" spans="1:16" x14ac:dyDescent="0.25">
      <c r="A289" s="10">
        <v>45874</v>
      </c>
      <c r="B289" s="1" t="s">
        <v>22</v>
      </c>
      <c r="C289" s="2">
        <v>15</v>
      </c>
      <c r="D289" s="1" t="s">
        <v>18</v>
      </c>
      <c r="E289" s="1" t="s">
        <v>23</v>
      </c>
      <c r="F289" s="3">
        <v>0</v>
      </c>
      <c r="G289" s="1" t="s">
        <v>24</v>
      </c>
      <c r="H289" s="1" t="s">
        <v>25</v>
      </c>
      <c r="I289" s="1" t="s">
        <v>26</v>
      </c>
      <c r="J289" s="7">
        <v>112</v>
      </c>
      <c r="K289" s="7">
        <v>125.43</v>
      </c>
      <c r="L289" s="8">
        <v>1680</v>
      </c>
      <c r="M289" s="8">
        <v>1881.45</v>
      </c>
      <c r="N289">
        <v>5</v>
      </c>
      <c r="O289" t="s">
        <v>128</v>
      </c>
      <c r="P289" t="s">
        <v>119</v>
      </c>
    </row>
    <row r="290" spans="1:16" x14ac:dyDescent="0.25">
      <c r="A290" s="10">
        <v>45874</v>
      </c>
      <c r="B290" s="1" t="s">
        <v>46</v>
      </c>
      <c r="C290" s="2">
        <v>1</v>
      </c>
      <c r="D290" s="1" t="s">
        <v>13</v>
      </c>
      <c r="E290" s="1" t="s">
        <v>23</v>
      </c>
      <c r="F290" s="3">
        <v>0</v>
      </c>
      <c r="G290" s="1" t="s">
        <v>47</v>
      </c>
      <c r="H290" s="1" t="s">
        <v>15</v>
      </c>
      <c r="I290" s="1" t="s">
        <v>16</v>
      </c>
      <c r="J290" s="7">
        <v>8</v>
      </c>
      <c r="K290" s="7">
        <v>8.85</v>
      </c>
      <c r="L290" s="8">
        <v>8</v>
      </c>
      <c r="M290" s="8">
        <v>8.85</v>
      </c>
      <c r="N290">
        <v>5</v>
      </c>
      <c r="O290" t="s">
        <v>128</v>
      </c>
      <c r="P290" t="s">
        <v>119</v>
      </c>
    </row>
    <row r="291" spans="1:16" x14ac:dyDescent="0.25">
      <c r="A291" s="10">
        <v>45874</v>
      </c>
      <c r="B291" s="1" t="s">
        <v>98</v>
      </c>
      <c r="C291" s="2">
        <v>5</v>
      </c>
      <c r="D291" s="1" t="s">
        <v>18</v>
      </c>
      <c r="E291" s="1" t="s">
        <v>13</v>
      </c>
      <c r="F291" s="3">
        <v>0</v>
      </c>
      <c r="G291" s="1" t="s">
        <v>99</v>
      </c>
      <c r="H291" s="1" t="s">
        <v>43</v>
      </c>
      <c r="I291" s="1" t="s">
        <v>21</v>
      </c>
      <c r="J291" s="7">
        <v>44</v>
      </c>
      <c r="K291" s="7">
        <v>49.75</v>
      </c>
      <c r="L291" s="8">
        <v>220</v>
      </c>
      <c r="M291" s="8">
        <v>248.75</v>
      </c>
      <c r="N291">
        <v>5</v>
      </c>
      <c r="O291" t="s">
        <v>128</v>
      </c>
      <c r="P291" t="s">
        <v>119</v>
      </c>
    </row>
    <row r="292" spans="1:16" x14ac:dyDescent="0.25">
      <c r="A292" s="10">
        <v>45874</v>
      </c>
      <c r="B292" s="1" t="s">
        <v>11</v>
      </c>
      <c r="C292" s="2">
        <v>2</v>
      </c>
      <c r="D292" s="1" t="s">
        <v>13</v>
      </c>
      <c r="E292" s="1" t="s">
        <v>13</v>
      </c>
      <c r="F292" s="3">
        <v>0</v>
      </c>
      <c r="G292" s="1" t="s">
        <v>14</v>
      </c>
      <c r="H292" s="1" t="s">
        <v>15</v>
      </c>
      <c r="I292" s="1" t="s">
        <v>16</v>
      </c>
      <c r="J292" s="7">
        <v>7</v>
      </c>
      <c r="K292" s="7">
        <v>7.93</v>
      </c>
      <c r="L292" s="8">
        <v>14</v>
      </c>
      <c r="M292" s="8">
        <v>15.86</v>
      </c>
      <c r="N292">
        <v>5</v>
      </c>
      <c r="O292" t="s">
        <v>128</v>
      </c>
      <c r="P292" t="s">
        <v>119</v>
      </c>
    </row>
    <row r="293" spans="1:16" x14ac:dyDescent="0.25">
      <c r="A293" s="10">
        <v>45874</v>
      </c>
      <c r="B293" s="1" t="s">
        <v>31</v>
      </c>
      <c r="C293" s="2">
        <v>3</v>
      </c>
      <c r="D293" s="1" t="s">
        <v>18</v>
      </c>
      <c r="E293" s="1" t="s">
        <v>23</v>
      </c>
      <c r="F293" s="3">
        <v>0</v>
      </c>
      <c r="G293" s="1" t="s">
        <v>32</v>
      </c>
      <c r="H293" s="1" t="s">
        <v>33</v>
      </c>
      <c r="I293" s="1" t="s">
        <v>21</v>
      </c>
      <c r="J293" s="7">
        <v>63</v>
      </c>
      <c r="K293" s="7">
        <v>72.64</v>
      </c>
      <c r="L293" s="8">
        <v>189</v>
      </c>
      <c r="M293" s="8">
        <v>217.92000000000002</v>
      </c>
      <c r="N293">
        <v>5</v>
      </c>
      <c r="O293" t="s">
        <v>128</v>
      </c>
      <c r="P293" t="s">
        <v>119</v>
      </c>
    </row>
    <row r="294" spans="1:16" x14ac:dyDescent="0.25">
      <c r="A294" s="10">
        <v>45876</v>
      </c>
      <c r="B294" s="1" t="s">
        <v>88</v>
      </c>
      <c r="C294" s="2">
        <v>2</v>
      </c>
      <c r="D294" s="1" t="s">
        <v>18</v>
      </c>
      <c r="E294" s="1" t="s">
        <v>13</v>
      </c>
      <c r="F294" s="3">
        <v>0.02</v>
      </c>
      <c r="G294" s="1" t="s">
        <v>89</v>
      </c>
      <c r="H294" s="1" t="s">
        <v>33</v>
      </c>
      <c r="I294" s="1" t="s">
        <v>26</v>
      </c>
      <c r="J294" s="7">
        <v>76</v>
      </c>
      <c r="K294" s="7">
        <v>82.84</v>
      </c>
      <c r="L294" s="8">
        <v>152</v>
      </c>
      <c r="M294" s="8">
        <v>165.68</v>
      </c>
      <c r="N294">
        <v>7</v>
      </c>
      <c r="O294" t="s">
        <v>128</v>
      </c>
      <c r="P294" t="s">
        <v>119</v>
      </c>
    </row>
    <row r="295" spans="1:16" x14ac:dyDescent="0.25">
      <c r="A295" s="10">
        <v>45876</v>
      </c>
      <c r="B295" s="1" t="s">
        <v>50</v>
      </c>
      <c r="C295" s="2">
        <v>8</v>
      </c>
      <c r="D295" s="1" t="s">
        <v>13</v>
      </c>
      <c r="E295" s="1" t="s">
        <v>13</v>
      </c>
      <c r="F295" s="3">
        <v>0</v>
      </c>
      <c r="G295" s="1" t="s">
        <v>51</v>
      </c>
      <c r="H295" s="1" t="s">
        <v>33</v>
      </c>
      <c r="I295" s="1" t="s">
        <v>26</v>
      </c>
      <c r="J295" s="7">
        <v>102</v>
      </c>
      <c r="K295" s="7">
        <v>117.01</v>
      </c>
      <c r="L295" s="8">
        <v>816</v>
      </c>
      <c r="M295" s="8">
        <v>936.08</v>
      </c>
      <c r="N295">
        <v>7</v>
      </c>
      <c r="O295" t="s">
        <v>128</v>
      </c>
      <c r="P295" t="s">
        <v>119</v>
      </c>
    </row>
    <row r="296" spans="1:16" x14ac:dyDescent="0.25">
      <c r="A296" s="10">
        <v>45876</v>
      </c>
      <c r="B296" s="1" t="s">
        <v>56</v>
      </c>
      <c r="C296" s="2">
        <v>4</v>
      </c>
      <c r="D296" s="1" t="s">
        <v>18</v>
      </c>
      <c r="E296" s="1" t="s">
        <v>23</v>
      </c>
      <c r="F296" s="3">
        <v>0</v>
      </c>
      <c r="G296" s="1" t="s">
        <v>57</v>
      </c>
      <c r="H296" s="1" t="s">
        <v>20</v>
      </c>
      <c r="I296" s="1" t="s">
        <v>26</v>
      </c>
      <c r="J296" s="7">
        <v>79</v>
      </c>
      <c r="K296" s="7">
        <v>90.51</v>
      </c>
      <c r="L296" s="8">
        <v>316</v>
      </c>
      <c r="M296" s="8">
        <v>362.04</v>
      </c>
      <c r="N296">
        <v>7</v>
      </c>
      <c r="O296" t="s">
        <v>128</v>
      </c>
      <c r="P296" t="s">
        <v>119</v>
      </c>
    </row>
    <row r="297" spans="1:16" x14ac:dyDescent="0.25">
      <c r="A297" s="10">
        <v>45876</v>
      </c>
      <c r="B297" s="1" t="s">
        <v>41</v>
      </c>
      <c r="C297" s="2">
        <v>5</v>
      </c>
      <c r="D297" s="1" t="s">
        <v>12</v>
      </c>
      <c r="E297" s="1" t="s">
        <v>13</v>
      </c>
      <c r="F297" s="3">
        <v>0.02</v>
      </c>
      <c r="G297" s="1" t="s">
        <v>42</v>
      </c>
      <c r="H297" s="1" t="s">
        <v>43</v>
      </c>
      <c r="I297" s="1" t="s">
        <v>26</v>
      </c>
      <c r="J297" s="7">
        <v>75</v>
      </c>
      <c r="K297" s="7">
        <v>80.900000000000006</v>
      </c>
      <c r="L297" s="8">
        <v>375</v>
      </c>
      <c r="M297" s="8">
        <v>404.5</v>
      </c>
      <c r="N297">
        <v>7</v>
      </c>
      <c r="O297" t="s">
        <v>128</v>
      </c>
      <c r="P297" t="s">
        <v>119</v>
      </c>
    </row>
    <row r="298" spans="1:16" x14ac:dyDescent="0.25">
      <c r="A298" s="10">
        <v>45877</v>
      </c>
      <c r="B298" s="1" t="s">
        <v>66</v>
      </c>
      <c r="C298" s="2">
        <v>10</v>
      </c>
      <c r="D298" s="1" t="s">
        <v>18</v>
      </c>
      <c r="E298" s="1" t="s">
        <v>23</v>
      </c>
      <c r="F298" s="3">
        <v>0</v>
      </c>
      <c r="G298" s="1" t="s">
        <v>67</v>
      </c>
      <c r="H298" s="1" t="s">
        <v>15</v>
      </c>
      <c r="I298" s="1" t="s">
        <v>21</v>
      </c>
      <c r="J298" s="7">
        <v>61</v>
      </c>
      <c r="K298" s="7">
        <v>67.150000000000006</v>
      </c>
      <c r="L298" s="8">
        <v>610</v>
      </c>
      <c r="M298" s="8">
        <v>671.5</v>
      </c>
      <c r="N298">
        <v>8</v>
      </c>
      <c r="O298" t="s">
        <v>128</v>
      </c>
      <c r="P298" t="s">
        <v>119</v>
      </c>
    </row>
    <row r="299" spans="1:16" x14ac:dyDescent="0.25">
      <c r="A299" s="10">
        <v>45877</v>
      </c>
      <c r="B299" s="1" t="s">
        <v>110</v>
      </c>
      <c r="C299" s="2">
        <v>12</v>
      </c>
      <c r="D299" s="1" t="s">
        <v>12</v>
      </c>
      <c r="E299" s="1" t="s">
        <v>13</v>
      </c>
      <c r="F299" s="3">
        <v>0.08</v>
      </c>
      <c r="G299" s="1" t="s">
        <v>111</v>
      </c>
      <c r="H299" s="1" t="s">
        <v>25</v>
      </c>
      <c r="I299" s="1" t="s">
        <v>26</v>
      </c>
      <c r="J299" s="7">
        <v>112</v>
      </c>
      <c r="K299" s="7">
        <v>112.25</v>
      </c>
      <c r="L299" s="8">
        <v>1344</v>
      </c>
      <c r="M299" s="8">
        <v>1347</v>
      </c>
      <c r="N299">
        <v>8</v>
      </c>
      <c r="O299" t="s">
        <v>128</v>
      </c>
      <c r="P299" t="s">
        <v>119</v>
      </c>
    </row>
    <row r="300" spans="1:16" x14ac:dyDescent="0.25">
      <c r="A300" s="10">
        <v>45877</v>
      </c>
      <c r="B300" s="1" t="s">
        <v>60</v>
      </c>
      <c r="C300" s="2">
        <v>13</v>
      </c>
      <c r="D300" s="1" t="s">
        <v>13</v>
      </c>
      <c r="E300" s="1" t="s">
        <v>13</v>
      </c>
      <c r="F300" s="3">
        <v>0</v>
      </c>
      <c r="G300" s="1" t="s">
        <v>61</v>
      </c>
      <c r="H300" s="1" t="s">
        <v>15</v>
      </c>
      <c r="I300" s="1" t="s">
        <v>26</v>
      </c>
      <c r="J300" s="7">
        <v>84</v>
      </c>
      <c r="K300" s="7">
        <v>92.8</v>
      </c>
      <c r="L300" s="8">
        <v>1092</v>
      </c>
      <c r="M300" s="8">
        <v>1206.3999999999999</v>
      </c>
      <c r="N300">
        <v>8</v>
      </c>
      <c r="O300" t="s">
        <v>128</v>
      </c>
      <c r="P300" t="s">
        <v>119</v>
      </c>
    </row>
    <row r="301" spans="1:16" x14ac:dyDescent="0.25">
      <c r="A301" s="10">
        <v>45878</v>
      </c>
      <c r="B301" s="1" t="s">
        <v>100</v>
      </c>
      <c r="C301" s="2">
        <v>1</v>
      </c>
      <c r="D301" s="1" t="s">
        <v>13</v>
      </c>
      <c r="E301" s="1" t="s">
        <v>23</v>
      </c>
      <c r="F301" s="3">
        <v>0</v>
      </c>
      <c r="G301" s="1" t="s">
        <v>101</v>
      </c>
      <c r="H301" s="1" t="s">
        <v>25</v>
      </c>
      <c r="I301" s="1" t="s">
        <v>26</v>
      </c>
      <c r="J301" s="7">
        <v>88</v>
      </c>
      <c r="K301" s="7">
        <v>99.61</v>
      </c>
      <c r="L301" s="8">
        <v>88</v>
      </c>
      <c r="M301" s="8">
        <v>99.61</v>
      </c>
      <c r="N301">
        <v>9</v>
      </c>
      <c r="O301" t="s">
        <v>128</v>
      </c>
      <c r="P301" t="s">
        <v>119</v>
      </c>
    </row>
    <row r="302" spans="1:16" x14ac:dyDescent="0.25">
      <c r="A302" s="10">
        <v>45878</v>
      </c>
      <c r="B302" s="1" t="s">
        <v>84</v>
      </c>
      <c r="C302" s="2">
        <v>3</v>
      </c>
      <c r="D302" s="1" t="s">
        <v>18</v>
      </c>
      <c r="E302" s="1" t="s">
        <v>13</v>
      </c>
      <c r="F302" s="3">
        <v>0</v>
      </c>
      <c r="G302" s="1" t="s">
        <v>85</v>
      </c>
      <c r="H302" s="1" t="s">
        <v>33</v>
      </c>
      <c r="I302" s="1" t="s">
        <v>38</v>
      </c>
      <c r="J302" s="7">
        <v>120</v>
      </c>
      <c r="K302" s="7">
        <v>130.82</v>
      </c>
      <c r="L302" s="8">
        <v>360</v>
      </c>
      <c r="M302" s="8">
        <v>392.46</v>
      </c>
      <c r="N302">
        <v>9</v>
      </c>
      <c r="O302" t="s">
        <v>128</v>
      </c>
      <c r="P302" t="s">
        <v>119</v>
      </c>
    </row>
    <row r="303" spans="1:16" x14ac:dyDescent="0.25">
      <c r="A303" s="10">
        <v>45880</v>
      </c>
      <c r="B303" s="1" t="s">
        <v>46</v>
      </c>
      <c r="C303" s="2">
        <v>7</v>
      </c>
      <c r="D303" s="1" t="s">
        <v>13</v>
      </c>
      <c r="E303" s="1" t="s">
        <v>23</v>
      </c>
      <c r="F303" s="3">
        <v>0</v>
      </c>
      <c r="G303" s="1" t="s">
        <v>47</v>
      </c>
      <c r="H303" s="1" t="s">
        <v>15</v>
      </c>
      <c r="I303" s="1" t="s">
        <v>16</v>
      </c>
      <c r="J303" s="7">
        <v>8</v>
      </c>
      <c r="K303" s="7">
        <v>9.4</v>
      </c>
      <c r="L303" s="8">
        <v>56</v>
      </c>
      <c r="M303" s="8">
        <v>65.8</v>
      </c>
      <c r="N303">
        <v>11</v>
      </c>
      <c r="O303" t="s">
        <v>128</v>
      </c>
      <c r="P303" t="s">
        <v>119</v>
      </c>
    </row>
    <row r="304" spans="1:16" x14ac:dyDescent="0.25">
      <c r="A304" s="10">
        <v>45880</v>
      </c>
      <c r="B304" s="1" t="s">
        <v>110</v>
      </c>
      <c r="C304" s="2">
        <v>14</v>
      </c>
      <c r="D304" s="1" t="s">
        <v>18</v>
      </c>
      <c r="E304" s="1" t="s">
        <v>13</v>
      </c>
      <c r="F304" s="3">
        <v>0</v>
      </c>
      <c r="G304" s="1" t="s">
        <v>111</v>
      </c>
      <c r="H304" s="1" t="s">
        <v>25</v>
      </c>
      <c r="I304" s="1" t="s">
        <v>26</v>
      </c>
      <c r="J304" s="7">
        <v>112</v>
      </c>
      <c r="K304" s="7">
        <v>129.1</v>
      </c>
      <c r="L304" s="8">
        <v>1568</v>
      </c>
      <c r="M304" s="8">
        <v>1807.3999999999999</v>
      </c>
      <c r="N304">
        <v>11</v>
      </c>
      <c r="O304" t="s">
        <v>128</v>
      </c>
      <c r="P304" t="s">
        <v>119</v>
      </c>
    </row>
    <row r="305" spans="1:16" x14ac:dyDescent="0.25">
      <c r="A305" s="10">
        <v>45881</v>
      </c>
      <c r="B305" s="1" t="s">
        <v>39</v>
      </c>
      <c r="C305" s="2">
        <v>8</v>
      </c>
      <c r="D305" s="1" t="s">
        <v>18</v>
      </c>
      <c r="E305" s="1" t="s">
        <v>23</v>
      </c>
      <c r="F305" s="3">
        <v>0</v>
      </c>
      <c r="G305" s="1" t="s">
        <v>40</v>
      </c>
      <c r="H305" s="1" t="s">
        <v>33</v>
      </c>
      <c r="I305" s="1" t="s">
        <v>38</v>
      </c>
      <c r="J305" s="7">
        <v>98</v>
      </c>
      <c r="K305" s="7">
        <v>111.35</v>
      </c>
      <c r="L305" s="8">
        <v>784</v>
      </c>
      <c r="M305" s="8">
        <v>890.8</v>
      </c>
      <c r="N305">
        <v>12</v>
      </c>
      <c r="O305" t="s">
        <v>128</v>
      </c>
      <c r="P305" t="s">
        <v>119</v>
      </c>
    </row>
    <row r="306" spans="1:16" x14ac:dyDescent="0.25">
      <c r="A306" s="10">
        <v>45882</v>
      </c>
      <c r="B306" s="1" t="s">
        <v>68</v>
      </c>
      <c r="C306" s="2">
        <v>9</v>
      </c>
      <c r="D306" s="1" t="s">
        <v>13</v>
      </c>
      <c r="E306" s="1" t="s">
        <v>23</v>
      </c>
      <c r="F306" s="3">
        <v>0</v>
      </c>
      <c r="G306" s="1" t="s">
        <v>69</v>
      </c>
      <c r="H306" s="1" t="s">
        <v>15</v>
      </c>
      <c r="I306" s="1" t="s">
        <v>38</v>
      </c>
      <c r="J306" s="7">
        <v>130</v>
      </c>
      <c r="K306" s="7">
        <v>153.32</v>
      </c>
      <c r="L306" s="8">
        <v>1170</v>
      </c>
      <c r="M306" s="8">
        <v>1379.8799999999999</v>
      </c>
      <c r="N306">
        <v>13</v>
      </c>
      <c r="O306" t="s">
        <v>128</v>
      </c>
      <c r="P306" t="s">
        <v>119</v>
      </c>
    </row>
    <row r="307" spans="1:16" x14ac:dyDescent="0.25">
      <c r="A307" s="10">
        <v>45882</v>
      </c>
      <c r="B307" s="1" t="s">
        <v>17</v>
      </c>
      <c r="C307" s="2">
        <v>3</v>
      </c>
      <c r="D307" s="1" t="s">
        <v>12</v>
      </c>
      <c r="E307" s="1" t="s">
        <v>13</v>
      </c>
      <c r="F307" s="3">
        <v>0</v>
      </c>
      <c r="G307" s="1" t="s">
        <v>19</v>
      </c>
      <c r="H307" s="1" t="s">
        <v>20</v>
      </c>
      <c r="I307" s="1" t="s">
        <v>21</v>
      </c>
      <c r="J307" s="7">
        <v>48</v>
      </c>
      <c r="K307" s="7">
        <v>53.64</v>
      </c>
      <c r="L307" s="8">
        <v>144</v>
      </c>
      <c r="M307" s="8">
        <v>160.92000000000002</v>
      </c>
      <c r="N307">
        <v>13</v>
      </c>
      <c r="O307" t="s">
        <v>128</v>
      </c>
      <c r="P307" t="s">
        <v>119</v>
      </c>
    </row>
    <row r="308" spans="1:16" x14ac:dyDescent="0.25">
      <c r="A308" s="10">
        <v>45883</v>
      </c>
      <c r="B308" s="1" t="s">
        <v>100</v>
      </c>
      <c r="C308" s="2">
        <v>9</v>
      </c>
      <c r="D308" s="1" t="s">
        <v>12</v>
      </c>
      <c r="E308" s="1" t="s">
        <v>23</v>
      </c>
      <c r="F308" s="3">
        <v>0</v>
      </c>
      <c r="G308" s="1" t="s">
        <v>101</v>
      </c>
      <c r="H308" s="1" t="s">
        <v>25</v>
      </c>
      <c r="I308" s="1" t="s">
        <v>26</v>
      </c>
      <c r="J308" s="7">
        <v>88</v>
      </c>
      <c r="K308" s="7">
        <v>100.8</v>
      </c>
      <c r="L308" s="8">
        <v>792</v>
      </c>
      <c r="M308" s="8">
        <v>907.19999999999993</v>
      </c>
      <c r="N308">
        <v>14</v>
      </c>
      <c r="O308" t="s">
        <v>128</v>
      </c>
      <c r="P308" t="s">
        <v>119</v>
      </c>
    </row>
    <row r="309" spans="1:16" x14ac:dyDescent="0.25">
      <c r="A309" s="10">
        <v>45883</v>
      </c>
      <c r="B309" s="1" t="s">
        <v>60</v>
      </c>
      <c r="C309" s="2">
        <v>7</v>
      </c>
      <c r="D309" s="1" t="s">
        <v>13</v>
      </c>
      <c r="E309" s="1" t="s">
        <v>23</v>
      </c>
      <c r="F309" s="3">
        <v>0</v>
      </c>
      <c r="G309" s="1" t="s">
        <v>61</v>
      </c>
      <c r="H309" s="1" t="s">
        <v>15</v>
      </c>
      <c r="I309" s="1" t="s">
        <v>26</v>
      </c>
      <c r="J309" s="7">
        <v>84</v>
      </c>
      <c r="K309" s="7">
        <v>97.23</v>
      </c>
      <c r="L309" s="8">
        <v>588</v>
      </c>
      <c r="M309" s="8">
        <v>680.61</v>
      </c>
      <c r="N309">
        <v>14</v>
      </c>
      <c r="O309" t="s">
        <v>128</v>
      </c>
      <c r="P309" t="s">
        <v>119</v>
      </c>
    </row>
    <row r="310" spans="1:16" x14ac:dyDescent="0.25">
      <c r="A310" s="10">
        <v>45884</v>
      </c>
      <c r="B310" s="1" t="s">
        <v>50</v>
      </c>
      <c r="C310" s="2">
        <v>12</v>
      </c>
      <c r="D310" s="1" t="s">
        <v>13</v>
      </c>
      <c r="E310" s="1" t="s">
        <v>23</v>
      </c>
      <c r="F310" s="3">
        <v>0</v>
      </c>
      <c r="G310" s="1" t="s">
        <v>51</v>
      </c>
      <c r="H310" s="1" t="s">
        <v>33</v>
      </c>
      <c r="I310" s="1" t="s">
        <v>26</v>
      </c>
      <c r="J310" s="7">
        <v>102</v>
      </c>
      <c r="K310" s="7">
        <v>119.8</v>
      </c>
      <c r="L310" s="8">
        <v>1224</v>
      </c>
      <c r="M310" s="8">
        <v>1437.6</v>
      </c>
      <c r="N310">
        <v>15</v>
      </c>
      <c r="O310" t="s">
        <v>128</v>
      </c>
      <c r="P310" t="s">
        <v>119</v>
      </c>
    </row>
    <row r="311" spans="1:16" x14ac:dyDescent="0.25">
      <c r="A311" s="10">
        <v>45884</v>
      </c>
      <c r="B311" s="1" t="s">
        <v>17</v>
      </c>
      <c r="C311" s="2">
        <v>5</v>
      </c>
      <c r="D311" s="1" t="s">
        <v>13</v>
      </c>
      <c r="E311" s="1" t="s">
        <v>23</v>
      </c>
      <c r="F311" s="3">
        <v>0</v>
      </c>
      <c r="G311" s="1" t="s">
        <v>19</v>
      </c>
      <c r="H311" s="1" t="s">
        <v>20</v>
      </c>
      <c r="I311" s="1" t="s">
        <v>21</v>
      </c>
      <c r="J311" s="7">
        <v>48</v>
      </c>
      <c r="K311" s="7">
        <v>52.37</v>
      </c>
      <c r="L311" s="8">
        <v>240</v>
      </c>
      <c r="M311" s="8">
        <v>261.84999999999997</v>
      </c>
      <c r="N311">
        <v>15</v>
      </c>
      <c r="O311" t="s">
        <v>128</v>
      </c>
      <c r="P311" t="s">
        <v>119</v>
      </c>
    </row>
    <row r="312" spans="1:16" x14ac:dyDescent="0.25">
      <c r="A312" s="10">
        <v>45885</v>
      </c>
      <c r="B312" s="1" t="s">
        <v>62</v>
      </c>
      <c r="C312" s="2">
        <v>14</v>
      </c>
      <c r="D312" s="1" t="s">
        <v>13</v>
      </c>
      <c r="E312" s="1" t="s">
        <v>13</v>
      </c>
      <c r="F312" s="3">
        <v>0</v>
      </c>
      <c r="G312" s="1" t="s">
        <v>63</v>
      </c>
      <c r="H312" s="1" t="s">
        <v>15</v>
      </c>
      <c r="I312" s="1" t="s">
        <v>38</v>
      </c>
      <c r="J312" s="7">
        <v>95</v>
      </c>
      <c r="K312" s="7">
        <v>111.89</v>
      </c>
      <c r="L312" s="8">
        <v>1330</v>
      </c>
      <c r="M312" s="8">
        <v>1566.46</v>
      </c>
      <c r="N312">
        <v>16</v>
      </c>
      <c r="O312" t="s">
        <v>128</v>
      </c>
      <c r="P312" t="s">
        <v>119</v>
      </c>
    </row>
    <row r="313" spans="1:16" x14ac:dyDescent="0.25">
      <c r="A313" s="10">
        <v>45885</v>
      </c>
      <c r="B313" s="1" t="s">
        <v>41</v>
      </c>
      <c r="C313" s="2">
        <v>13</v>
      </c>
      <c r="D313" s="1" t="s">
        <v>18</v>
      </c>
      <c r="E313" s="1" t="s">
        <v>13</v>
      </c>
      <c r="F313" s="3">
        <v>0</v>
      </c>
      <c r="G313" s="1" t="s">
        <v>42</v>
      </c>
      <c r="H313" s="1" t="s">
        <v>43</v>
      </c>
      <c r="I313" s="1" t="s">
        <v>26</v>
      </c>
      <c r="J313" s="7">
        <v>75</v>
      </c>
      <c r="K313" s="7">
        <v>86.32</v>
      </c>
      <c r="L313" s="8">
        <v>975</v>
      </c>
      <c r="M313" s="8">
        <v>1122.1599999999999</v>
      </c>
      <c r="N313">
        <v>16</v>
      </c>
      <c r="O313" t="s">
        <v>128</v>
      </c>
      <c r="P313" t="s">
        <v>119</v>
      </c>
    </row>
    <row r="314" spans="1:16" x14ac:dyDescent="0.25">
      <c r="A314" s="10">
        <v>45886</v>
      </c>
      <c r="B314" s="1" t="s">
        <v>54</v>
      </c>
      <c r="C314" s="2">
        <v>12</v>
      </c>
      <c r="D314" s="1" t="s">
        <v>12</v>
      </c>
      <c r="E314" s="1" t="s">
        <v>13</v>
      </c>
      <c r="F314" s="3">
        <v>0</v>
      </c>
      <c r="G314" s="1" t="s">
        <v>55</v>
      </c>
      <c r="H314" s="1" t="s">
        <v>43</v>
      </c>
      <c r="I314" s="1" t="s">
        <v>26</v>
      </c>
      <c r="J314" s="7">
        <v>71</v>
      </c>
      <c r="K314" s="7">
        <v>81.22</v>
      </c>
      <c r="L314" s="8">
        <v>852</v>
      </c>
      <c r="M314" s="8">
        <v>974.64</v>
      </c>
      <c r="N314">
        <v>17</v>
      </c>
      <c r="O314" t="s">
        <v>128</v>
      </c>
      <c r="P314" t="s">
        <v>119</v>
      </c>
    </row>
    <row r="315" spans="1:16" x14ac:dyDescent="0.25">
      <c r="A315" s="10">
        <v>45887</v>
      </c>
      <c r="B315" s="1" t="s">
        <v>68</v>
      </c>
      <c r="C315" s="2">
        <v>9</v>
      </c>
      <c r="D315" s="1" t="s">
        <v>13</v>
      </c>
      <c r="E315" s="1" t="s">
        <v>13</v>
      </c>
      <c r="F315" s="3">
        <v>0</v>
      </c>
      <c r="G315" s="1" t="s">
        <v>69</v>
      </c>
      <c r="H315" s="1" t="s">
        <v>15</v>
      </c>
      <c r="I315" s="1" t="s">
        <v>38</v>
      </c>
      <c r="J315" s="7">
        <v>130</v>
      </c>
      <c r="K315" s="7">
        <v>142.91999999999999</v>
      </c>
      <c r="L315" s="8">
        <v>1170</v>
      </c>
      <c r="M315" s="8">
        <v>1286.28</v>
      </c>
      <c r="N315">
        <v>18</v>
      </c>
      <c r="O315" t="s">
        <v>128</v>
      </c>
      <c r="P315" t="s">
        <v>119</v>
      </c>
    </row>
    <row r="316" spans="1:16" x14ac:dyDescent="0.25">
      <c r="A316" s="10">
        <v>45893</v>
      </c>
      <c r="B316" s="1" t="s">
        <v>36</v>
      </c>
      <c r="C316" s="2">
        <v>5</v>
      </c>
      <c r="D316" s="1" t="s">
        <v>12</v>
      </c>
      <c r="E316" s="1" t="s">
        <v>23</v>
      </c>
      <c r="F316" s="3">
        <v>0.05</v>
      </c>
      <c r="G316" s="1" t="s">
        <v>37</v>
      </c>
      <c r="H316" s="1" t="s">
        <v>15</v>
      </c>
      <c r="I316" s="1" t="s">
        <v>38</v>
      </c>
      <c r="J316" s="7">
        <v>141</v>
      </c>
      <c r="K316" s="7">
        <v>150</v>
      </c>
      <c r="L316" s="8">
        <v>705</v>
      </c>
      <c r="M316" s="8">
        <v>750</v>
      </c>
      <c r="N316">
        <v>24</v>
      </c>
      <c r="O316" t="s">
        <v>128</v>
      </c>
      <c r="P316" t="s">
        <v>119</v>
      </c>
    </row>
    <row r="317" spans="1:16" x14ac:dyDescent="0.25">
      <c r="A317" s="10">
        <v>45893</v>
      </c>
      <c r="B317" s="1" t="s">
        <v>29</v>
      </c>
      <c r="C317" s="2">
        <v>11</v>
      </c>
      <c r="D317" s="1" t="s">
        <v>13</v>
      </c>
      <c r="E317" s="1" t="s">
        <v>13</v>
      </c>
      <c r="F317" s="3">
        <v>0</v>
      </c>
      <c r="G317" s="1" t="s">
        <v>30</v>
      </c>
      <c r="H317" s="1" t="s">
        <v>15</v>
      </c>
      <c r="I317" s="1" t="s">
        <v>16</v>
      </c>
      <c r="J317" s="7">
        <v>12</v>
      </c>
      <c r="K317" s="7">
        <v>13.77</v>
      </c>
      <c r="L317" s="8">
        <v>132</v>
      </c>
      <c r="M317" s="8">
        <v>151.47</v>
      </c>
      <c r="N317">
        <v>24</v>
      </c>
      <c r="O317" t="s">
        <v>128</v>
      </c>
      <c r="P317" t="s">
        <v>119</v>
      </c>
    </row>
    <row r="318" spans="1:16" x14ac:dyDescent="0.25">
      <c r="A318" s="10">
        <v>45893</v>
      </c>
      <c r="B318" s="1" t="s">
        <v>70</v>
      </c>
      <c r="C318" s="2">
        <v>14</v>
      </c>
      <c r="D318" s="1" t="s">
        <v>13</v>
      </c>
      <c r="E318" s="1" t="s">
        <v>13</v>
      </c>
      <c r="F318" s="3">
        <v>0</v>
      </c>
      <c r="G318" s="1" t="s">
        <v>71</v>
      </c>
      <c r="H318" s="1" t="s">
        <v>43</v>
      </c>
      <c r="I318" s="1" t="s">
        <v>21</v>
      </c>
      <c r="J318" s="7">
        <v>52</v>
      </c>
      <c r="K318" s="7">
        <v>59.85</v>
      </c>
      <c r="L318" s="8">
        <v>728</v>
      </c>
      <c r="M318" s="8">
        <v>837.9</v>
      </c>
      <c r="N318">
        <v>24</v>
      </c>
      <c r="O318" t="s">
        <v>128</v>
      </c>
      <c r="P318" t="s">
        <v>119</v>
      </c>
    </row>
    <row r="319" spans="1:16" x14ac:dyDescent="0.25">
      <c r="A319" s="10">
        <v>45893</v>
      </c>
      <c r="B319" s="1" t="s">
        <v>31</v>
      </c>
      <c r="C319" s="2">
        <v>15</v>
      </c>
      <c r="D319" s="1" t="s">
        <v>13</v>
      </c>
      <c r="E319" s="1" t="s">
        <v>13</v>
      </c>
      <c r="F319" s="3">
        <v>0</v>
      </c>
      <c r="G319" s="1" t="s">
        <v>32</v>
      </c>
      <c r="H319" s="1" t="s">
        <v>33</v>
      </c>
      <c r="I319" s="1" t="s">
        <v>21</v>
      </c>
      <c r="J319" s="7">
        <v>63</v>
      </c>
      <c r="K319" s="7">
        <v>69.569999999999993</v>
      </c>
      <c r="L319" s="8">
        <v>945</v>
      </c>
      <c r="M319" s="8">
        <v>1043.55</v>
      </c>
      <c r="N319">
        <v>24</v>
      </c>
      <c r="O319" t="s">
        <v>128</v>
      </c>
      <c r="P319" t="s">
        <v>119</v>
      </c>
    </row>
    <row r="320" spans="1:16" x14ac:dyDescent="0.25">
      <c r="A320" s="10">
        <v>45894</v>
      </c>
      <c r="B320" s="1" t="s">
        <v>62</v>
      </c>
      <c r="C320" s="2">
        <v>14</v>
      </c>
      <c r="D320" s="1" t="s">
        <v>12</v>
      </c>
      <c r="E320" s="1" t="s">
        <v>13</v>
      </c>
      <c r="F320" s="3">
        <v>0</v>
      </c>
      <c r="G320" s="1" t="s">
        <v>63</v>
      </c>
      <c r="H320" s="1" t="s">
        <v>15</v>
      </c>
      <c r="I320" s="1" t="s">
        <v>38</v>
      </c>
      <c r="J320" s="7">
        <v>95</v>
      </c>
      <c r="K320" s="7">
        <v>103.53</v>
      </c>
      <c r="L320" s="8">
        <v>1330</v>
      </c>
      <c r="M320" s="8">
        <v>1449.42</v>
      </c>
      <c r="N320">
        <v>25</v>
      </c>
      <c r="O320" t="s">
        <v>128</v>
      </c>
      <c r="P320" t="s">
        <v>119</v>
      </c>
    </row>
    <row r="321" spans="1:16" x14ac:dyDescent="0.25">
      <c r="A321" s="10">
        <v>45895</v>
      </c>
      <c r="B321" s="1" t="s">
        <v>72</v>
      </c>
      <c r="C321" s="2">
        <v>10</v>
      </c>
      <c r="D321" s="1" t="s">
        <v>18</v>
      </c>
      <c r="E321" s="1" t="s">
        <v>13</v>
      </c>
      <c r="F321" s="3">
        <v>0.05</v>
      </c>
      <c r="G321" s="1" t="s">
        <v>73</v>
      </c>
      <c r="H321" s="1" t="s">
        <v>33</v>
      </c>
      <c r="I321" s="1" t="s">
        <v>26</v>
      </c>
      <c r="J321" s="7">
        <v>67</v>
      </c>
      <c r="K321" s="7">
        <v>69.900000000000006</v>
      </c>
      <c r="L321" s="8">
        <v>670</v>
      </c>
      <c r="M321" s="8">
        <v>699</v>
      </c>
      <c r="N321">
        <v>26</v>
      </c>
      <c r="O321" t="s">
        <v>128</v>
      </c>
      <c r="P321" t="s">
        <v>119</v>
      </c>
    </row>
    <row r="322" spans="1:16" x14ac:dyDescent="0.25">
      <c r="A322" s="10">
        <v>45895</v>
      </c>
      <c r="B322" s="1" t="s">
        <v>22</v>
      </c>
      <c r="C322" s="2">
        <v>6</v>
      </c>
      <c r="D322" s="1" t="s">
        <v>18</v>
      </c>
      <c r="E322" s="1" t="s">
        <v>13</v>
      </c>
      <c r="F322" s="3">
        <v>0</v>
      </c>
      <c r="G322" s="1" t="s">
        <v>24</v>
      </c>
      <c r="H322" s="1" t="s">
        <v>25</v>
      </c>
      <c r="I322" s="1" t="s">
        <v>26</v>
      </c>
      <c r="J322" s="7">
        <v>112</v>
      </c>
      <c r="K322" s="7">
        <v>124.54</v>
      </c>
      <c r="L322" s="8">
        <v>672</v>
      </c>
      <c r="M322" s="8">
        <v>747.24</v>
      </c>
      <c r="N322">
        <v>26</v>
      </c>
      <c r="O322" t="s">
        <v>128</v>
      </c>
      <c r="P322" t="s">
        <v>119</v>
      </c>
    </row>
    <row r="323" spans="1:16" x14ac:dyDescent="0.25">
      <c r="A323" s="10">
        <v>45896</v>
      </c>
      <c r="B323" s="1" t="s">
        <v>17</v>
      </c>
      <c r="C323" s="2">
        <v>1</v>
      </c>
      <c r="D323" s="1" t="s">
        <v>13</v>
      </c>
      <c r="E323" s="1" t="s">
        <v>13</v>
      </c>
      <c r="F323" s="3">
        <v>0</v>
      </c>
      <c r="G323" s="1" t="s">
        <v>19</v>
      </c>
      <c r="H323" s="1" t="s">
        <v>20</v>
      </c>
      <c r="I323" s="1" t="s">
        <v>21</v>
      </c>
      <c r="J323" s="7">
        <v>48</v>
      </c>
      <c r="K323" s="7">
        <v>55.54</v>
      </c>
      <c r="L323" s="8">
        <v>48</v>
      </c>
      <c r="M323" s="8">
        <v>55.54</v>
      </c>
      <c r="N323">
        <v>27</v>
      </c>
      <c r="O323" t="s">
        <v>128</v>
      </c>
      <c r="P323" t="s">
        <v>119</v>
      </c>
    </row>
    <row r="324" spans="1:16" x14ac:dyDescent="0.25">
      <c r="A324" s="10">
        <v>45898</v>
      </c>
      <c r="B324" s="1" t="s">
        <v>80</v>
      </c>
      <c r="C324" s="2">
        <v>8</v>
      </c>
      <c r="D324" s="1" t="s">
        <v>13</v>
      </c>
      <c r="E324" s="1" t="s">
        <v>23</v>
      </c>
      <c r="F324" s="3">
        <v>0</v>
      </c>
      <c r="G324" s="1" t="s">
        <v>81</v>
      </c>
      <c r="H324" s="1" t="s">
        <v>20</v>
      </c>
      <c r="I324" s="1" t="s">
        <v>26</v>
      </c>
      <c r="J324" s="7">
        <v>93</v>
      </c>
      <c r="K324" s="7">
        <v>108.45</v>
      </c>
      <c r="L324" s="8">
        <v>744</v>
      </c>
      <c r="M324" s="8">
        <v>867.6</v>
      </c>
      <c r="N324">
        <v>29</v>
      </c>
      <c r="O324" t="s">
        <v>128</v>
      </c>
      <c r="P324" t="s">
        <v>119</v>
      </c>
    </row>
    <row r="325" spans="1:16" x14ac:dyDescent="0.25">
      <c r="A325" s="10">
        <v>45898</v>
      </c>
      <c r="B325" s="1" t="s">
        <v>60</v>
      </c>
      <c r="C325" s="2">
        <v>15</v>
      </c>
      <c r="D325" s="1" t="s">
        <v>13</v>
      </c>
      <c r="E325" s="1" t="s">
        <v>13</v>
      </c>
      <c r="F325" s="3">
        <v>0</v>
      </c>
      <c r="G325" s="1" t="s">
        <v>61</v>
      </c>
      <c r="H325" s="1" t="s">
        <v>15</v>
      </c>
      <c r="I325" s="1" t="s">
        <v>26</v>
      </c>
      <c r="J325" s="7">
        <v>84</v>
      </c>
      <c r="K325" s="7">
        <v>95.45</v>
      </c>
      <c r="L325" s="8">
        <v>1260</v>
      </c>
      <c r="M325" s="8">
        <v>1431.75</v>
      </c>
      <c r="N325">
        <v>29</v>
      </c>
      <c r="O325" t="s">
        <v>128</v>
      </c>
      <c r="P325" t="s">
        <v>119</v>
      </c>
    </row>
    <row r="326" spans="1:16" x14ac:dyDescent="0.25">
      <c r="A326" s="10">
        <v>45899</v>
      </c>
      <c r="B326" s="1" t="s">
        <v>98</v>
      </c>
      <c r="C326" s="2">
        <v>12</v>
      </c>
      <c r="D326" s="1" t="s">
        <v>13</v>
      </c>
      <c r="E326" s="1" t="s">
        <v>23</v>
      </c>
      <c r="F326" s="3">
        <v>0</v>
      </c>
      <c r="G326" s="1" t="s">
        <v>99</v>
      </c>
      <c r="H326" s="1" t="s">
        <v>43</v>
      </c>
      <c r="I326" s="1" t="s">
        <v>21</v>
      </c>
      <c r="J326" s="7">
        <v>44</v>
      </c>
      <c r="K326" s="7">
        <v>51.91</v>
      </c>
      <c r="L326" s="8">
        <v>528</v>
      </c>
      <c r="M326" s="8">
        <v>622.91999999999996</v>
      </c>
      <c r="N326">
        <v>30</v>
      </c>
      <c r="O326" t="s">
        <v>128</v>
      </c>
      <c r="P326" t="s">
        <v>119</v>
      </c>
    </row>
    <row r="327" spans="1:16" x14ac:dyDescent="0.25">
      <c r="A327" s="10">
        <v>45899</v>
      </c>
      <c r="B327" s="1" t="s">
        <v>100</v>
      </c>
      <c r="C327" s="2">
        <v>11</v>
      </c>
      <c r="D327" s="1" t="s">
        <v>18</v>
      </c>
      <c r="E327" s="1" t="s">
        <v>23</v>
      </c>
      <c r="F327" s="3">
        <v>0</v>
      </c>
      <c r="G327" s="1" t="s">
        <v>101</v>
      </c>
      <c r="H327" s="1" t="s">
        <v>25</v>
      </c>
      <c r="I327" s="1" t="s">
        <v>26</v>
      </c>
      <c r="J327" s="7">
        <v>88</v>
      </c>
      <c r="K327" s="7">
        <v>103.65</v>
      </c>
      <c r="L327" s="8">
        <v>968</v>
      </c>
      <c r="M327" s="8">
        <v>1140.1500000000001</v>
      </c>
      <c r="N327">
        <v>30</v>
      </c>
      <c r="O327" t="s">
        <v>128</v>
      </c>
      <c r="P327" t="s">
        <v>119</v>
      </c>
    </row>
    <row r="328" spans="1:16" x14ac:dyDescent="0.25">
      <c r="A328" s="10">
        <v>45902</v>
      </c>
      <c r="B328" s="1" t="s">
        <v>96</v>
      </c>
      <c r="C328" s="2">
        <v>7</v>
      </c>
      <c r="D328" s="1" t="s">
        <v>13</v>
      </c>
      <c r="E328" s="1" t="s">
        <v>23</v>
      </c>
      <c r="F328" s="3">
        <v>0</v>
      </c>
      <c r="G328" s="1" t="s">
        <v>97</v>
      </c>
      <c r="H328" s="1" t="s">
        <v>20</v>
      </c>
      <c r="I328" s="1" t="s">
        <v>21</v>
      </c>
      <c r="J328" s="7">
        <v>55</v>
      </c>
      <c r="K328" s="7">
        <v>62.33</v>
      </c>
      <c r="L328" s="8">
        <v>385</v>
      </c>
      <c r="M328" s="8">
        <v>436.31</v>
      </c>
      <c r="N328">
        <v>2</v>
      </c>
      <c r="O328" t="s">
        <v>129</v>
      </c>
      <c r="P328" t="s">
        <v>119</v>
      </c>
    </row>
    <row r="329" spans="1:16" x14ac:dyDescent="0.25">
      <c r="A329" s="10">
        <v>45903</v>
      </c>
      <c r="B329" s="1" t="s">
        <v>96</v>
      </c>
      <c r="C329" s="2">
        <v>7</v>
      </c>
      <c r="D329" s="1" t="s">
        <v>18</v>
      </c>
      <c r="E329" s="1" t="s">
        <v>23</v>
      </c>
      <c r="F329" s="3">
        <v>0</v>
      </c>
      <c r="G329" s="1" t="s">
        <v>97</v>
      </c>
      <c r="H329" s="1" t="s">
        <v>20</v>
      </c>
      <c r="I329" s="1" t="s">
        <v>21</v>
      </c>
      <c r="J329" s="7">
        <v>55</v>
      </c>
      <c r="K329" s="7">
        <v>61.14</v>
      </c>
      <c r="L329" s="8">
        <v>385</v>
      </c>
      <c r="M329" s="8">
        <v>427.98</v>
      </c>
      <c r="N329">
        <v>3</v>
      </c>
      <c r="O329" t="s">
        <v>129</v>
      </c>
      <c r="P329" t="s">
        <v>119</v>
      </c>
    </row>
    <row r="330" spans="1:16" x14ac:dyDescent="0.25">
      <c r="A330" s="10">
        <v>45903</v>
      </c>
      <c r="B330" s="1" t="s">
        <v>72</v>
      </c>
      <c r="C330" s="2">
        <v>11</v>
      </c>
      <c r="D330" s="1" t="s">
        <v>18</v>
      </c>
      <c r="E330" s="1" t="s">
        <v>23</v>
      </c>
      <c r="F330" s="3">
        <v>0</v>
      </c>
      <c r="G330" s="1" t="s">
        <v>73</v>
      </c>
      <c r="H330" s="1" t="s">
        <v>33</v>
      </c>
      <c r="I330" s="1" t="s">
        <v>26</v>
      </c>
      <c r="J330" s="7">
        <v>67</v>
      </c>
      <c r="K330" s="7">
        <v>72.849999999999994</v>
      </c>
      <c r="L330" s="8">
        <v>737</v>
      </c>
      <c r="M330" s="8">
        <v>801.34999999999991</v>
      </c>
      <c r="N330">
        <v>3</v>
      </c>
      <c r="O330" t="s">
        <v>129</v>
      </c>
      <c r="P330" t="s">
        <v>119</v>
      </c>
    </row>
    <row r="331" spans="1:16" x14ac:dyDescent="0.25">
      <c r="A331" s="10">
        <v>45904</v>
      </c>
      <c r="B331" s="1" t="s">
        <v>102</v>
      </c>
      <c r="C331" s="2">
        <v>9</v>
      </c>
      <c r="D331" s="1" t="s">
        <v>12</v>
      </c>
      <c r="E331" s="1" t="s">
        <v>23</v>
      </c>
      <c r="F331" s="3">
        <v>0.05</v>
      </c>
      <c r="G331" s="1" t="s">
        <v>103</v>
      </c>
      <c r="H331" s="1" t="s">
        <v>15</v>
      </c>
      <c r="I331" s="1" t="s">
        <v>38</v>
      </c>
      <c r="J331" s="7">
        <v>144</v>
      </c>
      <c r="K331" s="7">
        <v>151.47999999999999</v>
      </c>
      <c r="L331" s="8">
        <v>1296</v>
      </c>
      <c r="M331" s="8">
        <v>1363.32</v>
      </c>
      <c r="N331">
        <v>4</v>
      </c>
      <c r="O331" t="s">
        <v>129</v>
      </c>
      <c r="P331" t="s">
        <v>119</v>
      </c>
    </row>
    <row r="332" spans="1:16" x14ac:dyDescent="0.25">
      <c r="A332" s="10">
        <v>45906</v>
      </c>
      <c r="B332" s="1" t="s">
        <v>108</v>
      </c>
      <c r="C332" s="2">
        <v>7</v>
      </c>
      <c r="D332" s="1" t="s">
        <v>13</v>
      </c>
      <c r="E332" s="1" t="s">
        <v>13</v>
      </c>
      <c r="F332" s="3">
        <v>0</v>
      </c>
      <c r="G332" s="1" t="s">
        <v>109</v>
      </c>
      <c r="H332" s="1" t="s">
        <v>43</v>
      </c>
      <c r="I332" s="1" t="s">
        <v>26</v>
      </c>
      <c r="J332" s="7">
        <v>65</v>
      </c>
      <c r="K332" s="7">
        <v>75.66</v>
      </c>
      <c r="L332" s="8">
        <v>455</v>
      </c>
      <c r="M332" s="8">
        <v>529.62</v>
      </c>
      <c r="N332">
        <v>6</v>
      </c>
      <c r="O332" t="s">
        <v>129</v>
      </c>
      <c r="P332" t="s">
        <v>119</v>
      </c>
    </row>
    <row r="333" spans="1:16" x14ac:dyDescent="0.25">
      <c r="A333" s="10">
        <v>45907</v>
      </c>
      <c r="B333" s="1" t="s">
        <v>34</v>
      </c>
      <c r="C333" s="2">
        <v>1</v>
      </c>
      <c r="D333" s="1" t="s">
        <v>18</v>
      </c>
      <c r="E333" s="1" t="s">
        <v>23</v>
      </c>
      <c r="F333" s="3">
        <v>0</v>
      </c>
      <c r="G333" s="1" t="s">
        <v>35</v>
      </c>
      <c r="H333" s="1" t="s">
        <v>20</v>
      </c>
      <c r="I333" s="1" t="s">
        <v>16</v>
      </c>
      <c r="J333" s="7">
        <v>5</v>
      </c>
      <c r="K333" s="7">
        <v>5.86</v>
      </c>
      <c r="L333" s="8">
        <v>5</v>
      </c>
      <c r="M333" s="8">
        <v>5.86</v>
      </c>
      <c r="N333">
        <v>7</v>
      </c>
      <c r="O333" t="s">
        <v>129</v>
      </c>
      <c r="P333" t="s">
        <v>119</v>
      </c>
    </row>
    <row r="334" spans="1:16" x14ac:dyDescent="0.25">
      <c r="A334" s="10">
        <v>45908</v>
      </c>
      <c r="B334" s="1" t="s">
        <v>104</v>
      </c>
      <c r="C334" s="2">
        <v>7</v>
      </c>
      <c r="D334" s="1" t="s">
        <v>12</v>
      </c>
      <c r="E334" s="1" t="s">
        <v>13</v>
      </c>
      <c r="F334" s="3">
        <v>0.08</v>
      </c>
      <c r="G334" s="1" t="s">
        <v>105</v>
      </c>
      <c r="H334" s="1" t="s">
        <v>33</v>
      </c>
      <c r="I334" s="1" t="s">
        <v>26</v>
      </c>
      <c r="J334" s="7">
        <v>90</v>
      </c>
      <c r="K334" s="7">
        <v>91.23</v>
      </c>
      <c r="L334" s="8">
        <v>630</v>
      </c>
      <c r="M334" s="8">
        <v>638.61</v>
      </c>
      <c r="N334">
        <v>8</v>
      </c>
      <c r="O334" t="s">
        <v>129</v>
      </c>
      <c r="P334" t="s">
        <v>119</v>
      </c>
    </row>
    <row r="335" spans="1:16" x14ac:dyDescent="0.25">
      <c r="A335" s="10">
        <v>45908</v>
      </c>
      <c r="B335" s="1" t="s">
        <v>84</v>
      </c>
      <c r="C335" s="2">
        <v>12</v>
      </c>
      <c r="D335" s="1" t="s">
        <v>18</v>
      </c>
      <c r="E335" s="1" t="s">
        <v>23</v>
      </c>
      <c r="F335" s="3">
        <v>0</v>
      </c>
      <c r="G335" s="1" t="s">
        <v>85</v>
      </c>
      <c r="H335" s="1" t="s">
        <v>33</v>
      </c>
      <c r="I335" s="1" t="s">
        <v>38</v>
      </c>
      <c r="J335" s="7">
        <v>120</v>
      </c>
      <c r="K335" s="7">
        <v>133.83000000000001</v>
      </c>
      <c r="L335" s="8">
        <v>1440</v>
      </c>
      <c r="M335" s="8">
        <v>1605.96</v>
      </c>
      <c r="N335">
        <v>8</v>
      </c>
      <c r="O335" t="s">
        <v>129</v>
      </c>
      <c r="P335" t="s">
        <v>119</v>
      </c>
    </row>
    <row r="336" spans="1:16" x14ac:dyDescent="0.25">
      <c r="A336" s="10">
        <v>45908</v>
      </c>
      <c r="B336" s="1" t="s">
        <v>96</v>
      </c>
      <c r="C336" s="2">
        <v>11</v>
      </c>
      <c r="D336" s="1" t="s">
        <v>13</v>
      </c>
      <c r="E336" s="1" t="s">
        <v>13</v>
      </c>
      <c r="F336" s="3">
        <v>0</v>
      </c>
      <c r="G336" s="1" t="s">
        <v>97</v>
      </c>
      <c r="H336" s="1" t="s">
        <v>20</v>
      </c>
      <c r="I336" s="1" t="s">
        <v>21</v>
      </c>
      <c r="J336" s="7">
        <v>55</v>
      </c>
      <c r="K336" s="7">
        <v>62.63</v>
      </c>
      <c r="L336" s="8">
        <v>605</v>
      </c>
      <c r="M336" s="8">
        <v>688.93000000000006</v>
      </c>
      <c r="N336">
        <v>8</v>
      </c>
      <c r="O336" t="s">
        <v>129</v>
      </c>
      <c r="P336" t="s">
        <v>119</v>
      </c>
    </row>
    <row r="337" spans="1:16" x14ac:dyDescent="0.25">
      <c r="A337" s="10">
        <v>45908</v>
      </c>
      <c r="B337" s="1" t="s">
        <v>82</v>
      </c>
      <c r="C337" s="2">
        <v>5</v>
      </c>
      <c r="D337" s="1" t="s">
        <v>13</v>
      </c>
      <c r="E337" s="1" t="s">
        <v>13</v>
      </c>
      <c r="F337" s="3">
        <v>0</v>
      </c>
      <c r="G337" s="1" t="s">
        <v>83</v>
      </c>
      <c r="H337" s="1" t="s">
        <v>33</v>
      </c>
      <c r="I337" s="1" t="s">
        <v>16</v>
      </c>
      <c r="J337" s="7">
        <v>11</v>
      </c>
      <c r="K337" s="7">
        <v>12.85</v>
      </c>
      <c r="L337" s="8">
        <v>55</v>
      </c>
      <c r="M337" s="8">
        <v>64.25</v>
      </c>
      <c r="N337">
        <v>8</v>
      </c>
      <c r="O337" t="s">
        <v>129</v>
      </c>
      <c r="P337" t="s">
        <v>119</v>
      </c>
    </row>
    <row r="338" spans="1:16" x14ac:dyDescent="0.25">
      <c r="A338" s="10">
        <v>45910</v>
      </c>
      <c r="B338" s="1" t="s">
        <v>108</v>
      </c>
      <c r="C338" s="2">
        <v>6</v>
      </c>
      <c r="D338" s="1" t="s">
        <v>18</v>
      </c>
      <c r="E338" s="1" t="s">
        <v>13</v>
      </c>
      <c r="F338" s="3">
        <v>0</v>
      </c>
      <c r="G338" s="1" t="s">
        <v>109</v>
      </c>
      <c r="H338" s="1" t="s">
        <v>43</v>
      </c>
      <c r="I338" s="1" t="s">
        <v>26</v>
      </c>
      <c r="J338" s="7">
        <v>65</v>
      </c>
      <c r="K338" s="7">
        <v>76.59</v>
      </c>
      <c r="L338" s="8">
        <v>390</v>
      </c>
      <c r="M338" s="8">
        <v>459.54</v>
      </c>
      <c r="N338">
        <v>10</v>
      </c>
      <c r="O338" t="s">
        <v>129</v>
      </c>
      <c r="P338" t="s">
        <v>119</v>
      </c>
    </row>
    <row r="339" spans="1:16" x14ac:dyDescent="0.25">
      <c r="A339" s="10">
        <v>45911</v>
      </c>
      <c r="B339" s="1" t="s">
        <v>50</v>
      </c>
      <c r="C339" s="2">
        <v>9</v>
      </c>
      <c r="D339" s="1" t="s">
        <v>13</v>
      </c>
      <c r="E339" s="1" t="s">
        <v>23</v>
      </c>
      <c r="F339" s="3">
        <v>0</v>
      </c>
      <c r="G339" s="1" t="s">
        <v>51</v>
      </c>
      <c r="H339" s="1" t="s">
        <v>33</v>
      </c>
      <c r="I339" s="1" t="s">
        <v>26</v>
      </c>
      <c r="J339" s="7">
        <v>102</v>
      </c>
      <c r="K339" s="7">
        <v>115.7</v>
      </c>
      <c r="L339" s="8">
        <v>918</v>
      </c>
      <c r="M339" s="8">
        <v>1041.3</v>
      </c>
      <c r="N339">
        <v>11</v>
      </c>
      <c r="O339" t="s">
        <v>129</v>
      </c>
      <c r="P339" t="s">
        <v>119</v>
      </c>
    </row>
    <row r="340" spans="1:16" x14ac:dyDescent="0.25">
      <c r="A340" s="10">
        <v>45912</v>
      </c>
      <c r="B340" s="1" t="s">
        <v>48</v>
      </c>
      <c r="C340" s="2">
        <v>13</v>
      </c>
      <c r="D340" s="1" t="s">
        <v>18</v>
      </c>
      <c r="E340" s="1" t="s">
        <v>13</v>
      </c>
      <c r="F340" s="3">
        <v>0</v>
      </c>
      <c r="G340" s="1" t="s">
        <v>49</v>
      </c>
      <c r="H340" s="1" t="s">
        <v>15</v>
      </c>
      <c r="I340" s="1" t="s">
        <v>26</v>
      </c>
      <c r="J340" s="7">
        <v>67</v>
      </c>
      <c r="K340" s="7">
        <v>73.63</v>
      </c>
      <c r="L340" s="8">
        <v>871</v>
      </c>
      <c r="M340" s="8">
        <v>957.18999999999994</v>
      </c>
      <c r="N340">
        <v>12</v>
      </c>
      <c r="O340" t="s">
        <v>129</v>
      </c>
      <c r="P340" t="s">
        <v>119</v>
      </c>
    </row>
    <row r="341" spans="1:16" x14ac:dyDescent="0.25">
      <c r="A341" s="10">
        <v>45912</v>
      </c>
      <c r="B341" s="1" t="s">
        <v>31</v>
      </c>
      <c r="C341" s="2">
        <v>8</v>
      </c>
      <c r="D341" s="1" t="s">
        <v>13</v>
      </c>
      <c r="E341" s="1" t="s">
        <v>13</v>
      </c>
      <c r="F341" s="3">
        <v>0</v>
      </c>
      <c r="G341" s="1" t="s">
        <v>32</v>
      </c>
      <c r="H341" s="1" t="s">
        <v>33</v>
      </c>
      <c r="I341" s="1" t="s">
        <v>21</v>
      </c>
      <c r="J341" s="7">
        <v>63</v>
      </c>
      <c r="K341" s="7">
        <v>72.62</v>
      </c>
      <c r="L341" s="8">
        <v>504</v>
      </c>
      <c r="M341" s="8">
        <v>580.96</v>
      </c>
      <c r="N341">
        <v>12</v>
      </c>
      <c r="O341" t="s">
        <v>129</v>
      </c>
      <c r="P341" t="s">
        <v>119</v>
      </c>
    </row>
    <row r="342" spans="1:16" x14ac:dyDescent="0.25">
      <c r="A342" s="10">
        <v>45912</v>
      </c>
      <c r="B342" s="1" t="s">
        <v>76</v>
      </c>
      <c r="C342" s="2">
        <v>6</v>
      </c>
      <c r="D342" s="1" t="s">
        <v>18</v>
      </c>
      <c r="E342" s="1" t="s">
        <v>23</v>
      </c>
      <c r="F342" s="3">
        <v>0</v>
      </c>
      <c r="G342" s="1" t="s">
        <v>77</v>
      </c>
      <c r="H342" s="1" t="s">
        <v>25</v>
      </c>
      <c r="I342" s="1" t="s">
        <v>26</v>
      </c>
      <c r="J342" s="7">
        <v>105</v>
      </c>
      <c r="K342" s="7">
        <v>116.75</v>
      </c>
      <c r="L342" s="8">
        <v>630</v>
      </c>
      <c r="M342" s="8">
        <v>700.5</v>
      </c>
      <c r="N342">
        <v>12</v>
      </c>
      <c r="O342" t="s">
        <v>129</v>
      </c>
      <c r="P342" t="s">
        <v>119</v>
      </c>
    </row>
    <row r="343" spans="1:16" x14ac:dyDescent="0.25">
      <c r="A343" s="10">
        <v>45913</v>
      </c>
      <c r="B343" s="1" t="s">
        <v>94</v>
      </c>
      <c r="C343" s="2">
        <v>15</v>
      </c>
      <c r="D343" s="1" t="s">
        <v>12</v>
      </c>
      <c r="E343" s="1" t="s">
        <v>13</v>
      </c>
      <c r="F343" s="3">
        <v>0.05</v>
      </c>
      <c r="G343" s="1" t="s">
        <v>95</v>
      </c>
      <c r="H343" s="1" t="s">
        <v>20</v>
      </c>
      <c r="I343" s="1" t="s">
        <v>26</v>
      </c>
      <c r="J343" s="7">
        <v>56</v>
      </c>
      <c r="K343" s="7">
        <v>58.77</v>
      </c>
      <c r="L343" s="8">
        <v>840</v>
      </c>
      <c r="M343" s="8">
        <v>881.55000000000007</v>
      </c>
      <c r="N343">
        <v>13</v>
      </c>
      <c r="O343" t="s">
        <v>129</v>
      </c>
      <c r="P343" t="s">
        <v>119</v>
      </c>
    </row>
    <row r="344" spans="1:16" x14ac:dyDescent="0.25">
      <c r="A344" s="10">
        <v>45913</v>
      </c>
      <c r="B344" s="1" t="s">
        <v>39</v>
      </c>
      <c r="C344" s="2">
        <v>8</v>
      </c>
      <c r="D344" s="1" t="s">
        <v>18</v>
      </c>
      <c r="E344" s="1" t="s">
        <v>23</v>
      </c>
      <c r="F344" s="3">
        <v>0</v>
      </c>
      <c r="G344" s="1" t="s">
        <v>40</v>
      </c>
      <c r="H344" s="1" t="s">
        <v>33</v>
      </c>
      <c r="I344" s="1" t="s">
        <v>38</v>
      </c>
      <c r="J344" s="7">
        <v>98</v>
      </c>
      <c r="K344" s="7">
        <v>107.12</v>
      </c>
      <c r="L344" s="8">
        <v>784</v>
      </c>
      <c r="M344" s="8">
        <v>856.96</v>
      </c>
      <c r="N344">
        <v>13</v>
      </c>
      <c r="O344" t="s">
        <v>129</v>
      </c>
      <c r="P344" t="s">
        <v>119</v>
      </c>
    </row>
    <row r="345" spans="1:16" x14ac:dyDescent="0.25">
      <c r="A345" s="10">
        <v>45913</v>
      </c>
      <c r="B345" s="1" t="s">
        <v>17</v>
      </c>
      <c r="C345" s="2">
        <v>15</v>
      </c>
      <c r="D345" s="1" t="s">
        <v>18</v>
      </c>
      <c r="E345" s="1" t="s">
        <v>23</v>
      </c>
      <c r="F345" s="3">
        <v>0.05</v>
      </c>
      <c r="G345" s="1" t="s">
        <v>19</v>
      </c>
      <c r="H345" s="1" t="s">
        <v>20</v>
      </c>
      <c r="I345" s="1" t="s">
        <v>21</v>
      </c>
      <c r="J345" s="7">
        <v>48</v>
      </c>
      <c r="K345" s="7">
        <v>49.88</v>
      </c>
      <c r="L345" s="8">
        <v>720</v>
      </c>
      <c r="M345" s="8">
        <v>748.2</v>
      </c>
      <c r="N345">
        <v>13</v>
      </c>
      <c r="O345" t="s">
        <v>129</v>
      </c>
      <c r="P345" t="s">
        <v>119</v>
      </c>
    </row>
    <row r="346" spans="1:16" x14ac:dyDescent="0.25">
      <c r="A346" s="10">
        <v>45914</v>
      </c>
      <c r="B346" s="1" t="s">
        <v>34</v>
      </c>
      <c r="C346" s="2">
        <v>8</v>
      </c>
      <c r="D346" s="1" t="s">
        <v>13</v>
      </c>
      <c r="E346" s="1" t="s">
        <v>23</v>
      </c>
      <c r="F346" s="3">
        <v>0</v>
      </c>
      <c r="G346" s="1" t="s">
        <v>35</v>
      </c>
      <c r="H346" s="1" t="s">
        <v>20</v>
      </c>
      <c r="I346" s="1" t="s">
        <v>16</v>
      </c>
      <c r="J346" s="7">
        <v>5</v>
      </c>
      <c r="K346" s="7">
        <v>5.77</v>
      </c>
      <c r="L346" s="8">
        <v>40</v>
      </c>
      <c r="M346" s="8">
        <v>46.16</v>
      </c>
      <c r="N346">
        <v>14</v>
      </c>
      <c r="O346" t="s">
        <v>129</v>
      </c>
      <c r="P346" t="s">
        <v>119</v>
      </c>
    </row>
    <row r="347" spans="1:16" x14ac:dyDescent="0.25">
      <c r="A347" s="10">
        <v>45914</v>
      </c>
      <c r="B347" s="1" t="s">
        <v>17</v>
      </c>
      <c r="C347" s="2">
        <v>7</v>
      </c>
      <c r="D347" s="1" t="s">
        <v>18</v>
      </c>
      <c r="E347" s="1" t="s">
        <v>23</v>
      </c>
      <c r="F347" s="3">
        <v>0</v>
      </c>
      <c r="G347" s="1" t="s">
        <v>19</v>
      </c>
      <c r="H347" s="1" t="s">
        <v>20</v>
      </c>
      <c r="I347" s="1" t="s">
        <v>21</v>
      </c>
      <c r="J347" s="7">
        <v>48</v>
      </c>
      <c r="K347" s="7">
        <v>54.42</v>
      </c>
      <c r="L347" s="8">
        <v>336</v>
      </c>
      <c r="M347" s="8">
        <v>380.94</v>
      </c>
      <c r="N347">
        <v>14</v>
      </c>
      <c r="O347" t="s">
        <v>129</v>
      </c>
      <c r="P347" t="s">
        <v>119</v>
      </c>
    </row>
    <row r="348" spans="1:16" x14ac:dyDescent="0.25">
      <c r="A348" s="10">
        <v>45917</v>
      </c>
      <c r="B348" s="1" t="s">
        <v>46</v>
      </c>
      <c r="C348" s="2">
        <v>14</v>
      </c>
      <c r="D348" s="1" t="s">
        <v>13</v>
      </c>
      <c r="E348" s="1" t="s">
        <v>13</v>
      </c>
      <c r="F348" s="3">
        <v>0</v>
      </c>
      <c r="G348" s="1" t="s">
        <v>47</v>
      </c>
      <c r="H348" s="1" t="s">
        <v>15</v>
      </c>
      <c r="I348" s="1" t="s">
        <v>16</v>
      </c>
      <c r="J348" s="7">
        <v>8</v>
      </c>
      <c r="K348" s="7">
        <v>9.1</v>
      </c>
      <c r="L348" s="8">
        <v>112</v>
      </c>
      <c r="M348" s="8">
        <v>127.39999999999999</v>
      </c>
      <c r="N348">
        <v>17</v>
      </c>
      <c r="O348" t="s">
        <v>129</v>
      </c>
      <c r="P348" t="s">
        <v>119</v>
      </c>
    </row>
    <row r="349" spans="1:16" x14ac:dyDescent="0.25">
      <c r="A349" s="10">
        <v>45918</v>
      </c>
      <c r="B349" s="1" t="s">
        <v>46</v>
      </c>
      <c r="C349" s="2">
        <v>7</v>
      </c>
      <c r="D349" s="1" t="s">
        <v>12</v>
      </c>
      <c r="E349" s="1" t="s">
        <v>13</v>
      </c>
      <c r="F349" s="3">
        <v>0.05</v>
      </c>
      <c r="G349" s="1" t="s">
        <v>47</v>
      </c>
      <c r="H349" s="1" t="s">
        <v>15</v>
      </c>
      <c r="I349" s="1" t="s">
        <v>16</v>
      </c>
      <c r="J349" s="7">
        <v>8</v>
      </c>
      <c r="K349" s="7">
        <v>8.5</v>
      </c>
      <c r="L349" s="8">
        <v>56</v>
      </c>
      <c r="M349" s="8">
        <v>59.5</v>
      </c>
      <c r="N349">
        <v>18</v>
      </c>
      <c r="O349" t="s">
        <v>129</v>
      </c>
      <c r="P349" t="s">
        <v>119</v>
      </c>
    </row>
    <row r="350" spans="1:16" x14ac:dyDescent="0.25">
      <c r="A350" s="10">
        <v>45920</v>
      </c>
      <c r="B350" s="1" t="s">
        <v>76</v>
      </c>
      <c r="C350" s="2">
        <v>14</v>
      </c>
      <c r="D350" s="1" t="s">
        <v>13</v>
      </c>
      <c r="E350" s="1" t="s">
        <v>23</v>
      </c>
      <c r="F350" s="3">
        <v>0</v>
      </c>
      <c r="G350" s="1" t="s">
        <v>77</v>
      </c>
      <c r="H350" s="1" t="s">
        <v>25</v>
      </c>
      <c r="I350" s="1" t="s">
        <v>26</v>
      </c>
      <c r="J350" s="7">
        <v>105</v>
      </c>
      <c r="K350" s="7">
        <v>122.69</v>
      </c>
      <c r="L350" s="8">
        <v>1470</v>
      </c>
      <c r="M350" s="8">
        <v>1717.6599999999999</v>
      </c>
      <c r="N350">
        <v>20</v>
      </c>
      <c r="O350" t="s">
        <v>129</v>
      </c>
      <c r="P350" t="s">
        <v>119</v>
      </c>
    </row>
    <row r="351" spans="1:16" x14ac:dyDescent="0.25">
      <c r="A351" s="10">
        <v>45922</v>
      </c>
      <c r="B351" s="1" t="s">
        <v>72</v>
      </c>
      <c r="C351" s="2">
        <v>11</v>
      </c>
      <c r="D351" s="1" t="s">
        <v>12</v>
      </c>
      <c r="E351" s="1" t="s">
        <v>23</v>
      </c>
      <c r="F351" s="3">
        <v>0.1</v>
      </c>
      <c r="G351" s="1" t="s">
        <v>73</v>
      </c>
      <c r="H351" s="1" t="s">
        <v>33</v>
      </c>
      <c r="I351" s="1" t="s">
        <v>26</v>
      </c>
      <c r="J351" s="7">
        <v>67</v>
      </c>
      <c r="K351" s="7">
        <v>66.17</v>
      </c>
      <c r="L351" s="8">
        <v>737</v>
      </c>
      <c r="M351" s="8">
        <v>727.87</v>
      </c>
      <c r="N351">
        <v>22</v>
      </c>
      <c r="O351" t="s">
        <v>129</v>
      </c>
      <c r="P351" t="s">
        <v>119</v>
      </c>
    </row>
    <row r="352" spans="1:16" x14ac:dyDescent="0.25">
      <c r="A352" s="10">
        <v>45925</v>
      </c>
      <c r="B352" s="1" t="s">
        <v>60</v>
      </c>
      <c r="C352" s="2">
        <v>15</v>
      </c>
      <c r="D352" s="1" t="s">
        <v>13</v>
      </c>
      <c r="E352" s="1" t="s">
        <v>13</v>
      </c>
      <c r="F352" s="3">
        <v>0</v>
      </c>
      <c r="G352" s="1" t="s">
        <v>61</v>
      </c>
      <c r="H352" s="1" t="s">
        <v>15</v>
      </c>
      <c r="I352" s="1" t="s">
        <v>26</v>
      </c>
      <c r="J352" s="7">
        <v>84</v>
      </c>
      <c r="K352" s="7">
        <v>94.04</v>
      </c>
      <c r="L352" s="8">
        <v>1260</v>
      </c>
      <c r="M352" s="8">
        <v>1410.6000000000001</v>
      </c>
      <c r="N352">
        <v>25</v>
      </c>
      <c r="O352" t="s">
        <v>129</v>
      </c>
      <c r="P352" t="s">
        <v>119</v>
      </c>
    </row>
    <row r="353" spans="1:16" x14ac:dyDescent="0.25">
      <c r="A353" s="10">
        <v>45925</v>
      </c>
      <c r="B353" s="1" t="s">
        <v>84</v>
      </c>
      <c r="C353" s="2">
        <v>5</v>
      </c>
      <c r="D353" s="1" t="s">
        <v>18</v>
      </c>
      <c r="E353" s="1" t="s">
        <v>13</v>
      </c>
      <c r="F353" s="3">
        <v>0</v>
      </c>
      <c r="G353" s="1" t="s">
        <v>85</v>
      </c>
      <c r="H353" s="1" t="s">
        <v>33</v>
      </c>
      <c r="I353" s="1" t="s">
        <v>38</v>
      </c>
      <c r="J353" s="7">
        <v>120</v>
      </c>
      <c r="K353" s="7">
        <v>139.51</v>
      </c>
      <c r="L353" s="8">
        <v>600</v>
      </c>
      <c r="M353" s="8">
        <v>697.55</v>
      </c>
      <c r="N353">
        <v>25</v>
      </c>
      <c r="O353" t="s">
        <v>129</v>
      </c>
      <c r="P353" t="s">
        <v>119</v>
      </c>
    </row>
    <row r="354" spans="1:16" x14ac:dyDescent="0.25">
      <c r="A354" s="10">
        <v>45926</v>
      </c>
      <c r="B354" s="1" t="s">
        <v>78</v>
      </c>
      <c r="C354" s="2">
        <v>5</v>
      </c>
      <c r="D354" s="1" t="s">
        <v>12</v>
      </c>
      <c r="E354" s="1" t="s">
        <v>23</v>
      </c>
      <c r="F354" s="3">
        <v>0.08</v>
      </c>
      <c r="G354" s="1" t="s">
        <v>79</v>
      </c>
      <c r="H354" s="1" t="s">
        <v>33</v>
      </c>
      <c r="I354" s="1" t="s">
        <v>21</v>
      </c>
      <c r="J354" s="7">
        <v>41</v>
      </c>
      <c r="K354" s="7">
        <v>41.42</v>
      </c>
      <c r="L354" s="8">
        <v>205</v>
      </c>
      <c r="M354" s="8">
        <v>207.10000000000002</v>
      </c>
      <c r="N354">
        <v>26</v>
      </c>
      <c r="O354" t="s">
        <v>129</v>
      </c>
      <c r="P354" t="s">
        <v>119</v>
      </c>
    </row>
    <row r="355" spans="1:16" x14ac:dyDescent="0.25">
      <c r="A355" s="10">
        <v>45926</v>
      </c>
      <c r="B355" s="1" t="s">
        <v>60</v>
      </c>
      <c r="C355" s="2">
        <v>12</v>
      </c>
      <c r="D355" s="1" t="s">
        <v>13</v>
      </c>
      <c r="E355" s="1" t="s">
        <v>23</v>
      </c>
      <c r="F355" s="3">
        <v>0</v>
      </c>
      <c r="G355" s="1" t="s">
        <v>61</v>
      </c>
      <c r="H355" s="1" t="s">
        <v>15</v>
      </c>
      <c r="I355" s="1" t="s">
        <v>26</v>
      </c>
      <c r="J355" s="7">
        <v>84</v>
      </c>
      <c r="K355" s="7">
        <v>92.26</v>
      </c>
      <c r="L355" s="8">
        <v>1008</v>
      </c>
      <c r="M355" s="8">
        <v>1107.1200000000001</v>
      </c>
      <c r="N355">
        <v>26</v>
      </c>
      <c r="O355" t="s">
        <v>129</v>
      </c>
      <c r="P355" t="s">
        <v>119</v>
      </c>
    </row>
    <row r="356" spans="1:16" x14ac:dyDescent="0.25">
      <c r="A356" s="10">
        <v>45927</v>
      </c>
      <c r="B356" s="1" t="s">
        <v>54</v>
      </c>
      <c r="C356" s="2">
        <v>11</v>
      </c>
      <c r="D356" s="1" t="s">
        <v>13</v>
      </c>
      <c r="E356" s="1" t="s">
        <v>23</v>
      </c>
      <c r="F356" s="3">
        <v>0</v>
      </c>
      <c r="G356" s="1" t="s">
        <v>55</v>
      </c>
      <c r="H356" s="1" t="s">
        <v>43</v>
      </c>
      <c r="I356" s="1" t="s">
        <v>26</v>
      </c>
      <c r="J356" s="7">
        <v>71</v>
      </c>
      <c r="K356" s="7">
        <v>77.78</v>
      </c>
      <c r="L356" s="8">
        <v>781</v>
      </c>
      <c r="M356" s="8">
        <v>855.58</v>
      </c>
      <c r="N356">
        <v>27</v>
      </c>
      <c r="O356" t="s">
        <v>129</v>
      </c>
      <c r="P356" t="s">
        <v>119</v>
      </c>
    </row>
    <row r="357" spans="1:16" x14ac:dyDescent="0.25">
      <c r="A357" s="10">
        <v>45927</v>
      </c>
      <c r="B357" s="1" t="s">
        <v>34</v>
      </c>
      <c r="C357" s="2">
        <v>9</v>
      </c>
      <c r="D357" s="1" t="s">
        <v>18</v>
      </c>
      <c r="E357" s="1" t="s">
        <v>23</v>
      </c>
      <c r="F357" s="3">
        <v>0</v>
      </c>
      <c r="G357" s="1" t="s">
        <v>35</v>
      </c>
      <c r="H357" s="1" t="s">
        <v>20</v>
      </c>
      <c r="I357" s="1" t="s">
        <v>16</v>
      </c>
      <c r="J357" s="7">
        <v>5</v>
      </c>
      <c r="K357" s="7">
        <v>5.64</v>
      </c>
      <c r="L357" s="8">
        <v>45</v>
      </c>
      <c r="M357" s="8">
        <v>50.76</v>
      </c>
      <c r="N357">
        <v>27</v>
      </c>
      <c r="O357" t="s">
        <v>129</v>
      </c>
      <c r="P357" t="s">
        <v>119</v>
      </c>
    </row>
    <row r="358" spans="1:16" x14ac:dyDescent="0.25">
      <c r="A358" s="10">
        <v>45928</v>
      </c>
      <c r="B358" s="1" t="s">
        <v>29</v>
      </c>
      <c r="C358" s="2">
        <v>9</v>
      </c>
      <c r="D358" s="1" t="s">
        <v>12</v>
      </c>
      <c r="E358" s="1" t="s">
        <v>23</v>
      </c>
      <c r="F358" s="3">
        <v>0</v>
      </c>
      <c r="G358" s="1" t="s">
        <v>30</v>
      </c>
      <c r="H358" s="1" t="s">
        <v>15</v>
      </c>
      <c r="I358" s="1" t="s">
        <v>16</v>
      </c>
      <c r="J358" s="7">
        <v>12</v>
      </c>
      <c r="K358" s="7">
        <v>14.02</v>
      </c>
      <c r="L358" s="8">
        <v>108</v>
      </c>
      <c r="M358" s="8">
        <v>126.17999999999999</v>
      </c>
      <c r="N358">
        <v>28</v>
      </c>
      <c r="O358" t="s">
        <v>129</v>
      </c>
      <c r="P358" t="s">
        <v>119</v>
      </c>
    </row>
    <row r="359" spans="1:16" x14ac:dyDescent="0.25">
      <c r="A359" s="10">
        <v>45928</v>
      </c>
      <c r="B359" s="1" t="s">
        <v>58</v>
      </c>
      <c r="C359" s="2">
        <v>6</v>
      </c>
      <c r="D359" s="1" t="s">
        <v>12</v>
      </c>
      <c r="E359" s="1" t="s">
        <v>23</v>
      </c>
      <c r="F359" s="3">
        <v>0.1</v>
      </c>
      <c r="G359" s="1" t="s">
        <v>59</v>
      </c>
      <c r="H359" s="1" t="s">
        <v>43</v>
      </c>
      <c r="I359" s="1" t="s">
        <v>26</v>
      </c>
      <c r="J359" s="7">
        <v>98</v>
      </c>
      <c r="K359" s="7">
        <v>98.48</v>
      </c>
      <c r="L359" s="8">
        <v>588</v>
      </c>
      <c r="M359" s="8">
        <v>590.88</v>
      </c>
      <c r="N359">
        <v>28</v>
      </c>
      <c r="O359" t="s">
        <v>129</v>
      </c>
      <c r="P359" t="s">
        <v>119</v>
      </c>
    </row>
    <row r="360" spans="1:16" x14ac:dyDescent="0.25">
      <c r="A360" s="10">
        <v>45929</v>
      </c>
      <c r="B360" s="1" t="s">
        <v>58</v>
      </c>
      <c r="C360" s="2">
        <v>10</v>
      </c>
      <c r="D360" s="1" t="s">
        <v>13</v>
      </c>
      <c r="E360" s="1" t="s">
        <v>23</v>
      </c>
      <c r="F360" s="3">
        <v>0</v>
      </c>
      <c r="G360" s="1" t="s">
        <v>59</v>
      </c>
      <c r="H360" s="1" t="s">
        <v>43</v>
      </c>
      <c r="I360" s="1" t="s">
        <v>26</v>
      </c>
      <c r="J360" s="7">
        <v>98</v>
      </c>
      <c r="K360" s="7">
        <v>109.4</v>
      </c>
      <c r="L360" s="8">
        <v>980</v>
      </c>
      <c r="M360" s="8">
        <v>1094</v>
      </c>
      <c r="N360">
        <v>29</v>
      </c>
      <c r="O360" t="s">
        <v>129</v>
      </c>
      <c r="P360" t="s">
        <v>119</v>
      </c>
    </row>
    <row r="361" spans="1:16" x14ac:dyDescent="0.25">
      <c r="A361" s="10">
        <v>45929</v>
      </c>
      <c r="B361" s="1" t="s">
        <v>17</v>
      </c>
      <c r="C361" s="2">
        <v>10</v>
      </c>
      <c r="D361" s="1" t="s">
        <v>18</v>
      </c>
      <c r="E361" s="1" t="s">
        <v>23</v>
      </c>
      <c r="F361" s="3">
        <v>0</v>
      </c>
      <c r="G361" s="1" t="s">
        <v>19</v>
      </c>
      <c r="H361" s="1" t="s">
        <v>20</v>
      </c>
      <c r="I361" s="1" t="s">
        <v>21</v>
      </c>
      <c r="J361" s="7">
        <v>48</v>
      </c>
      <c r="K361" s="7">
        <v>52.22</v>
      </c>
      <c r="L361" s="8">
        <v>480</v>
      </c>
      <c r="M361" s="8">
        <v>522.20000000000005</v>
      </c>
      <c r="N361">
        <v>29</v>
      </c>
      <c r="O361" t="s">
        <v>129</v>
      </c>
      <c r="P361" t="s">
        <v>119</v>
      </c>
    </row>
    <row r="362" spans="1:16" x14ac:dyDescent="0.25">
      <c r="A362" s="10">
        <v>45929</v>
      </c>
      <c r="B362" s="1" t="s">
        <v>46</v>
      </c>
      <c r="C362" s="2">
        <v>9</v>
      </c>
      <c r="D362" s="1" t="s">
        <v>12</v>
      </c>
      <c r="E362" s="1" t="s">
        <v>23</v>
      </c>
      <c r="F362" s="3">
        <v>0</v>
      </c>
      <c r="G362" s="1" t="s">
        <v>47</v>
      </c>
      <c r="H362" s="1" t="s">
        <v>15</v>
      </c>
      <c r="I362" s="1" t="s">
        <v>16</v>
      </c>
      <c r="J362" s="7">
        <v>8</v>
      </c>
      <c r="K362" s="7">
        <v>8.98</v>
      </c>
      <c r="L362" s="8">
        <v>72</v>
      </c>
      <c r="M362" s="8">
        <v>80.820000000000007</v>
      </c>
      <c r="N362">
        <v>29</v>
      </c>
      <c r="O362" t="s">
        <v>129</v>
      </c>
      <c r="P362" t="s">
        <v>119</v>
      </c>
    </row>
    <row r="363" spans="1:16" x14ac:dyDescent="0.25">
      <c r="A363" s="10">
        <v>45930</v>
      </c>
      <c r="B363" s="1" t="s">
        <v>106</v>
      </c>
      <c r="C363" s="2">
        <v>3</v>
      </c>
      <c r="D363" s="1" t="s">
        <v>18</v>
      </c>
      <c r="E363" s="1" t="s">
        <v>23</v>
      </c>
      <c r="F363" s="3">
        <v>0</v>
      </c>
      <c r="G363" s="1" t="s">
        <v>107</v>
      </c>
      <c r="H363" s="1" t="s">
        <v>25</v>
      </c>
      <c r="I363" s="1" t="s">
        <v>21</v>
      </c>
      <c r="J363" s="7">
        <v>39</v>
      </c>
      <c r="K363" s="7">
        <v>45.52</v>
      </c>
      <c r="L363" s="8">
        <v>117</v>
      </c>
      <c r="M363" s="8">
        <v>136.56</v>
      </c>
      <c r="N363">
        <v>30</v>
      </c>
      <c r="O363" t="s">
        <v>129</v>
      </c>
      <c r="P363" t="s">
        <v>119</v>
      </c>
    </row>
    <row r="364" spans="1:16" x14ac:dyDescent="0.25">
      <c r="A364" s="10">
        <v>45932</v>
      </c>
      <c r="B364" s="1" t="s">
        <v>64</v>
      </c>
      <c r="C364" s="2">
        <v>8</v>
      </c>
      <c r="D364" s="1" t="s">
        <v>13</v>
      </c>
      <c r="E364" s="1" t="s">
        <v>13</v>
      </c>
      <c r="F364" s="3">
        <v>0</v>
      </c>
      <c r="G364" s="1" t="s">
        <v>65</v>
      </c>
      <c r="H364" s="1" t="s">
        <v>25</v>
      </c>
      <c r="I364" s="1" t="s">
        <v>26</v>
      </c>
      <c r="J364" s="7">
        <v>60</v>
      </c>
      <c r="K364" s="7">
        <v>69.73</v>
      </c>
      <c r="L364" s="8">
        <v>480</v>
      </c>
      <c r="M364" s="8">
        <v>557.84</v>
      </c>
      <c r="N364">
        <v>2</v>
      </c>
      <c r="O364" t="s">
        <v>130</v>
      </c>
      <c r="P364" t="s">
        <v>119</v>
      </c>
    </row>
    <row r="365" spans="1:16" x14ac:dyDescent="0.25">
      <c r="A365" s="10">
        <v>45932</v>
      </c>
      <c r="B365" s="1" t="s">
        <v>52</v>
      </c>
      <c r="C365" s="2">
        <v>6</v>
      </c>
      <c r="D365" s="1" t="s">
        <v>13</v>
      </c>
      <c r="E365" s="1" t="s">
        <v>13</v>
      </c>
      <c r="F365" s="3">
        <v>0</v>
      </c>
      <c r="G365" s="1" t="s">
        <v>53</v>
      </c>
      <c r="H365" s="1" t="s">
        <v>25</v>
      </c>
      <c r="I365" s="1" t="s">
        <v>21</v>
      </c>
      <c r="J365" s="7">
        <v>58</v>
      </c>
      <c r="K365" s="7">
        <v>66.53</v>
      </c>
      <c r="L365" s="8">
        <v>348</v>
      </c>
      <c r="M365" s="8">
        <v>399.18</v>
      </c>
      <c r="N365">
        <v>2</v>
      </c>
      <c r="O365" t="s">
        <v>130</v>
      </c>
      <c r="P365" t="s">
        <v>119</v>
      </c>
    </row>
    <row r="366" spans="1:16" x14ac:dyDescent="0.25">
      <c r="A366" s="10">
        <v>45932</v>
      </c>
      <c r="B366" s="1" t="s">
        <v>36</v>
      </c>
      <c r="C366" s="2">
        <v>13</v>
      </c>
      <c r="D366" s="1" t="s">
        <v>13</v>
      </c>
      <c r="E366" s="1" t="s">
        <v>13</v>
      </c>
      <c r="F366" s="3">
        <v>0</v>
      </c>
      <c r="G366" s="1" t="s">
        <v>37</v>
      </c>
      <c r="H366" s="1" t="s">
        <v>15</v>
      </c>
      <c r="I366" s="1" t="s">
        <v>38</v>
      </c>
      <c r="J366" s="7">
        <v>141</v>
      </c>
      <c r="K366" s="7">
        <v>164.3</v>
      </c>
      <c r="L366" s="8">
        <v>1833</v>
      </c>
      <c r="M366" s="8">
        <v>2135.9</v>
      </c>
      <c r="N366">
        <v>2</v>
      </c>
      <c r="O366" t="s">
        <v>130</v>
      </c>
      <c r="P366" t="s">
        <v>119</v>
      </c>
    </row>
    <row r="367" spans="1:16" x14ac:dyDescent="0.25">
      <c r="A367" s="10">
        <v>45932</v>
      </c>
      <c r="B367" s="1" t="s">
        <v>88</v>
      </c>
      <c r="C367" s="2">
        <v>14</v>
      </c>
      <c r="D367" s="1" t="s">
        <v>12</v>
      </c>
      <c r="E367" s="1" t="s">
        <v>23</v>
      </c>
      <c r="F367" s="3">
        <v>0.02</v>
      </c>
      <c r="G367" s="1" t="s">
        <v>89</v>
      </c>
      <c r="H367" s="1" t="s">
        <v>33</v>
      </c>
      <c r="I367" s="1" t="s">
        <v>26</v>
      </c>
      <c r="J367" s="7">
        <v>76</v>
      </c>
      <c r="K367" s="7">
        <v>84.18</v>
      </c>
      <c r="L367" s="8">
        <v>1064</v>
      </c>
      <c r="M367" s="8">
        <v>1178.52</v>
      </c>
      <c r="N367">
        <v>2</v>
      </c>
      <c r="O367" t="s">
        <v>130</v>
      </c>
      <c r="P367" t="s">
        <v>119</v>
      </c>
    </row>
    <row r="368" spans="1:16" x14ac:dyDescent="0.25">
      <c r="A368" s="10">
        <v>45933</v>
      </c>
      <c r="B368" s="1" t="s">
        <v>88</v>
      </c>
      <c r="C368" s="2">
        <v>12</v>
      </c>
      <c r="D368" s="1" t="s">
        <v>12</v>
      </c>
      <c r="E368" s="1" t="s">
        <v>23</v>
      </c>
      <c r="F368" s="3">
        <v>0.02</v>
      </c>
      <c r="G368" s="1" t="s">
        <v>89</v>
      </c>
      <c r="H368" s="1" t="s">
        <v>33</v>
      </c>
      <c r="I368" s="1" t="s">
        <v>26</v>
      </c>
      <c r="J368" s="7">
        <v>76</v>
      </c>
      <c r="K368" s="7">
        <v>87.5</v>
      </c>
      <c r="L368" s="8">
        <v>912</v>
      </c>
      <c r="M368" s="8">
        <v>1050</v>
      </c>
      <c r="N368">
        <v>3</v>
      </c>
      <c r="O368" t="s">
        <v>130</v>
      </c>
      <c r="P368" t="s">
        <v>119</v>
      </c>
    </row>
    <row r="369" spans="1:16" x14ac:dyDescent="0.25">
      <c r="A369" s="10">
        <v>45933</v>
      </c>
      <c r="B369" s="1" t="s">
        <v>94</v>
      </c>
      <c r="C369" s="2">
        <v>9</v>
      </c>
      <c r="D369" s="1" t="s">
        <v>13</v>
      </c>
      <c r="E369" s="1" t="s">
        <v>23</v>
      </c>
      <c r="F369" s="3">
        <v>0</v>
      </c>
      <c r="G369" s="1" t="s">
        <v>95</v>
      </c>
      <c r="H369" s="1" t="s">
        <v>20</v>
      </c>
      <c r="I369" s="1" t="s">
        <v>26</v>
      </c>
      <c r="J369" s="7">
        <v>56</v>
      </c>
      <c r="K369" s="7">
        <v>64.709999999999994</v>
      </c>
      <c r="L369" s="8">
        <v>504</v>
      </c>
      <c r="M369" s="8">
        <v>582.39</v>
      </c>
      <c r="N369">
        <v>3</v>
      </c>
      <c r="O369" t="s">
        <v>130</v>
      </c>
      <c r="P369" t="s">
        <v>119</v>
      </c>
    </row>
    <row r="370" spans="1:16" x14ac:dyDescent="0.25">
      <c r="A370" s="10">
        <v>45933</v>
      </c>
      <c r="B370" s="1" t="s">
        <v>80</v>
      </c>
      <c r="C370" s="2">
        <v>4</v>
      </c>
      <c r="D370" s="1" t="s">
        <v>12</v>
      </c>
      <c r="E370" s="1" t="s">
        <v>13</v>
      </c>
      <c r="F370" s="3">
        <v>0</v>
      </c>
      <c r="G370" s="1" t="s">
        <v>81</v>
      </c>
      <c r="H370" s="1" t="s">
        <v>20</v>
      </c>
      <c r="I370" s="1" t="s">
        <v>26</v>
      </c>
      <c r="J370" s="7">
        <v>93</v>
      </c>
      <c r="K370" s="7">
        <v>104.75</v>
      </c>
      <c r="L370" s="8">
        <v>372</v>
      </c>
      <c r="M370" s="8">
        <v>419</v>
      </c>
      <c r="N370">
        <v>3</v>
      </c>
      <c r="O370" t="s">
        <v>130</v>
      </c>
      <c r="P370" t="s">
        <v>119</v>
      </c>
    </row>
    <row r="371" spans="1:16" x14ac:dyDescent="0.25">
      <c r="A371" s="10">
        <v>45936</v>
      </c>
      <c r="B371" s="1" t="s">
        <v>11</v>
      </c>
      <c r="C371" s="2">
        <v>8</v>
      </c>
      <c r="D371" s="1" t="s">
        <v>12</v>
      </c>
      <c r="E371" s="1" t="s">
        <v>23</v>
      </c>
      <c r="F371" s="3">
        <v>0</v>
      </c>
      <c r="G371" s="1" t="s">
        <v>14</v>
      </c>
      <c r="H371" s="1" t="s">
        <v>15</v>
      </c>
      <c r="I371" s="1" t="s">
        <v>16</v>
      </c>
      <c r="J371" s="7">
        <v>7</v>
      </c>
      <c r="K371" s="7">
        <v>7.83</v>
      </c>
      <c r="L371" s="8">
        <v>56</v>
      </c>
      <c r="M371" s="8">
        <v>62.64</v>
      </c>
      <c r="N371">
        <v>6</v>
      </c>
      <c r="O371" t="s">
        <v>130</v>
      </c>
      <c r="P371" t="s">
        <v>119</v>
      </c>
    </row>
    <row r="372" spans="1:16" x14ac:dyDescent="0.25">
      <c r="A372" s="10">
        <v>45936</v>
      </c>
      <c r="B372" s="1" t="s">
        <v>11</v>
      </c>
      <c r="C372" s="2">
        <v>15</v>
      </c>
      <c r="D372" s="1" t="s">
        <v>12</v>
      </c>
      <c r="E372" s="1" t="s">
        <v>13</v>
      </c>
      <c r="F372" s="3">
        <v>0</v>
      </c>
      <c r="G372" s="1" t="s">
        <v>14</v>
      </c>
      <c r="H372" s="1" t="s">
        <v>15</v>
      </c>
      <c r="I372" s="1" t="s">
        <v>16</v>
      </c>
      <c r="J372" s="7">
        <v>7</v>
      </c>
      <c r="K372" s="7">
        <v>7.76</v>
      </c>
      <c r="L372" s="8">
        <v>105</v>
      </c>
      <c r="M372" s="8">
        <v>116.39999999999999</v>
      </c>
      <c r="N372">
        <v>6</v>
      </c>
      <c r="O372" t="s">
        <v>130</v>
      </c>
      <c r="P372" t="s">
        <v>119</v>
      </c>
    </row>
    <row r="373" spans="1:16" x14ac:dyDescent="0.25">
      <c r="A373" s="10">
        <v>45936</v>
      </c>
      <c r="B373" s="1" t="s">
        <v>72</v>
      </c>
      <c r="C373" s="2">
        <v>11</v>
      </c>
      <c r="D373" s="1" t="s">
        <v>13</v>
      </c>
      <c r="E373" s="1" t="s">
        <v>13</v>
      </c>
      <c r="F373" s="3">
        <v>0.02</v>
      </c>
      <c r="G373" s="1" t="s">
        <v>73</v>
      </c>
      <c r="H373" s="1" t="s">
        <v>33</v>
      </c>
      <c r="I373" s="1" t="s">
        <v>26</v>
      </c>
      <c r="J373" s="7">
        <v>67</v>
      </c>
      <c r="K373" s="7">
        <v>74.760000000000005</v>
      </c>
      <c r="L373" s="8">
        <v>737</v>
      </c>
      <c r="M373" s="8">
        <v>822.36</v>
      </c>
      <c r="N373">
        <v>6</v>
      </c>
      <c r="O373" t="s">
        <v>130</v>
      </c>
      <c r="P373" t="s">
        <v>119</v>
      </c>
    </row>
    <row r="374" spans="1:16" x14ac:dyDescent="0.25">
      <c r="A374" s="10">
        <v>45937</v>
      </c>
      <c r="B374" s="1" t="s">
        <v>36</v>
      </c>
      <c r="C374" s="2">
        <v>11</v>
      </c>
      <c r="D374" s="1" t="s">
        <v>18</v>
      </c>
      <c r="E374" s="1" t="s">
        <v>13</v>
      </c>
      <c r="F374" s="3">
        <v>0</v>
      </c>
      <c r="G374" s="1" t="s">
        <v>37</v>
      </c>
      <c r="H374" s="1" t="s">
        <v>15</v>
      </c>
      <c r="I374" s="1" t="s">
        <v>38</v>
      </c>
      <c r="J374" s="7">
        <v>141</v>
      </c>
      <c r="K374" s="7">
        <v>154.99</v>
      </c>
      <c r="L374" s="8">
        <v>1551</v>
      </c>
      <c r="M374" s="8">
        <v>1704.89</v>
      </c>
      <c r="N374">
        <v>7</v>
      </c>
      <c r="O374" t="s">
        <v>130</v>
      </c>
      <c r="P374" t="s">
        <v>119</v>
      </c>
    </row>
    <row r="375" spans="1:16" x14ac:dyDescent="0.25">
      <c r="A375" s="10">
        <v>45937</v>
      </c>
      <c r="B375" s="1" t="s">
        <v>52</v>
      </c>
      <c r="C375" s="2">
        <v>11</v>
      </c>
      <c r="D375" s="1" t="s">
        <v>18</v>
      </c>
      <c r="E375" s="1" t="s">
        <v>23</v>
      </c>
      <c r="F375" s="3">
        <v>0</v>
      </c>
      <c r="G375" s="1" t="s">
        <v>53</v>
      </c>
      <c r="H375" s="1" t="s">
        <v>25</v>
      </c>
      <c r="I375" s="1" t="s">
        <v>21</v>
      </c>
      <c r="J375" s="7">
        <v>58</v>
      </c>
      <c r="K375" s="7">
        <v>65.319999999999993</v>
      </c>
      <c r="L375" s="8">
        <v>638</v>
      </c>
      <c r="M375" s="8">
        <v>718.52</v>
      </c>
      <c r="N375">
        <v>7</v>
      </c>
      <c r="O375" t="s">
        <v>130</v>
      </c>
      <c r="P375" t="s">
        <v>119</v>
      </c>
    </row>
    <row r="376" spans="1:16" x14ac:dyDescent="0.25">
      <c r="A376" s="10">
        <v>45937</v>
      </c>
      <c r="B376" s="1" t="s">
        <v>62</v>
      </c>
      <c r="C376" s="2">
        <v>3</v>
      </c>
      <c r="D376" s="1" t="s">
        <v>13</v>
      </c>
      <c r="E376" s="1" t="s">
        <v>13</v>
      </c>
      <c r="F376" s="3">
        <v>0.05</v>
      </c>
      <c r="G376" s="1" t="s">
        <v>63</v>
      </c>
      <c r="H376" s="1" t="s">
        <v>15</v>
      </c>
      <c r="I376" s="1" t="s">
        <v>38</v>
      </c>
      <c r="J376" s="7">
        <v>95</v>
      </c>
      <c r="K376" s="7">
        <v>103.21</v>
      </c>
      <c r="L376" s="8">
        <v>285</v>
      </c>
      <c r="M376" s="8">
        <v>309.63</v>
      </c>
      <c r="N376">
        <v>7</v>
      </c>
      <c r="O376" t="s">
        <v>130</v>
      </c>
      <c r="P376" t="s">
        <v>119</v>
      </c>
    </row>
    <row r="377" spans="1:16" x14ac:dyDescent="0.25">
      <c r="A377" s="10">
        <v>45938</v>
      </c>
      <c r="B377" s="1" t="s">
        <v>58</v>
      </c>
      <c r="C377" s="2">
        <v>5</v>
      </c>
      <c r="D377" s="1" t="s">
        <v>13</v>
      </c>
      <c r="E377" s="1" t="s">
        <v>13</v>
      </c>
      <c r="F377" s="3">
        <v>0</v>
      </c>
      <c r="G377" s="1" t="s">
        <v>59</v>
      </c>
      <c r="H377" s="1" t="s">
        <v>43</v>
      </c>
      <c r="I377" s="1" t="s">
        <v>26</v>
      </c>
      <c r="J377" s="7">
        <v>98</v>
      </c>
      <c r="K377" s="7">
        <v>111.79</v>
      </c>
      <c r="L377" s="8">
        <v>490</v>
      </c>
      <c r="M377" s="8">
        <v>558.95000000000005</v>
      </c>
      <c r="N377">
        <v>8</v>
      </c>
      <c r="O377" t="s">
        <v>130</v>
      </c>
      <c r="P377" t="s">
        <v>119</v>
      </c>
    </row>
    <row r="378" spans="1:16" x14ac:dyDescent="0.25">
      <c r="A378" s="10">
        <v>45938</v>
      </c>
      <c r="B378" s="1" t="s">
        <v>78</v>
      </c>
      <c r="C378" s="2">
        <v>9</v>
      </c>
      <c r="D378" s="1" t="s">
        <v>13</v>
      </c>
      <c r="E378" s="1" t="s">
        <v>13</v>
      </c>
      <c r="F378" s="3">
        <v>0</v>
      </c>
      <c r="G378" s="1" t="s">
        <v>79</v>
      </c>
      <c r="H378" s="1" t="s">
        <v>33</v>
      </c>
      <c r="I378" s="1" t="s">
        <v>21</v>
      </c>
      <c r="J378" s="7">
        <v>41</v>
      </c>
      <c r="K378" s="7">
        <v>44.78</v>
      </c>
      <c r="L378" s="8">
        <v>369</v>
      </c>
      <c r="M378" s="8">
        <v>403.02</v>
      </c>
      <c r="N378">
        <v>8</v>
      </c>
      <c r="O378" t="s">
        <v>130</v>
      </c>
      <c r="P378" t="s">
        <v>119</v>
      </c>
    </row>
    <row r="379" spans="1:16" x14ac:dyDescent="0.25">
      <c r="A379" s="10">
        <v>45939</v>
      </c>
      <c r="B379" s="1" t="s">
        <v>34</v>
      </c>
      <c r="C379" s="2">
        <v>5</v>
      </c>
      <c r="D379" s="1" t="s">
        <v>12</v>
      </c>
      <c r="E379" s="1" t="s">
        <v>23</v>
      </c>
      <c r="F379" s="3">
        <v>0</v>
      </c>
      <c r="G379" s="1" t="s">
        <v>35</v>
      </c>
      <c r="H379" s="1" t="s">
        <v>20</v>
      </c>
      <c r="I379" s="1" t="s">
        <v>16</v>
      </c>
      <c r="J379" s="7">
        <v>5</v>
      </c>
      <c r="K379" s="7">
        <v>5.72</v>
      </c>
      <c r="L379" s="8">
        <v>25</v>
      </c>
      <c r="M379" s="8">
        <v>28.599999999999998</v>
      </c>
      <c r="N379">
        <v>9</v>
      </c>
      <c r="O379" t="s">
        <v>130</v>
      </c>
      <c r="P379" t="s">
        <v>119</v>
      </c>
    </row>
    <row r="380" spans="1:16" x14ac:dyDescent="0.25">
      <c r="A380" s="10">
        <v>45939</v>
      </c>
      <c r="B380" s="1" t="s">
        <v>62</v>
      </c>
      <c r="C380" s="2">
        <v>2</v>
      </c>
      <c r="D380" s="1" t="s">
        <v>18</v>
      </c>
      <c r="E380" s="1" t="s">
        <v>23</v>
      </c>
      <c r="F380" s="3">
        <v>0</v>
      </c>
      <c r="G380" s="1" t="s">
        <v>63</v>
      </c>
      <c r="H380" s="1" t="s">
        <v>15</v>
      </c>
      <c r="I380" s="1" t="s">
        <v>38</v>
      </c>
      <c r="J380" s="7">
        <v>95</v>
      </c>
      <c r="K380" s="7">
        <v>103.19</v>
      </c>
      <c r="L380" s="8">
        <v>190</v>
      </c>
      <c r="M380" s="8">
        <v>206.38</v>
      </c>
      <c r="N380">
        <v>9</v>
      </c>
      <c r="O380" t="s">
        <v>130</v>
      </c>
      <c r="P380" t="s">
        <v>119</v>
      </c>
    </row>
    <row r="381" spans="1:16" x14ac:dyDescent="0.25">
      <c r="A381" s="10">
        <v>45940</v>
      </c>
      <c r="B381" s="1" t="s">
        <v>39</v>
      </c>
      <c r="C381" s="2">
        <v>10</v>
      </c>
      <c r="D381" s="1" t="s">
        <v>13</v>
      </c>
      <c r="E381" s="1" t="s">
        <v>23</v>
      </c>
      <c r="F381" s="3">
        <v>0</v>
      </c>
      <c r="G381" s="1" t="s">
        <v>40</v>
      </c>
      <c r="H381" s="1" t="s">
        <v>33</v>
      </c>
      <c r="I381" s="1" t="s">
        <v>38</v>
      </c>
      <c r="J381" s="7">
        <v>98</v>
      </c>
      <c r="K381" s="7">
        <v>114.76</v>
      </c>
      <c r="L381" s="8">
        <v>980</v>
      </c>
      <c r="M381" s="8">
        <v>1147.6000000000001</v>
      </c>
      <c r="N381">
        <v>10</v>
      </c>
      <c r="O381" t="s">
        <v>130</v>
      </c>
      <c r="P381" t="s">
        <v>119</v>
      </c>
    </row>
    <row r="382" spans="1:16" x14ac:dyDescent="0.25">
      <c r="A382" s="10">
        <v>45941</v>
      </c>
      <c r="B382" s="1" t="s">
        <v>96</v>
      </c>
      <c r="C382" s="2">
        <v>6</v>
      </c>
      <c r="D382" s="1" t="s">
        <v>13</v>
      </c>
      <c r="E382" s="1" t="s">
        <v>13</v>
      </c>
      <c r="F382" s="3">
        <v>0</v>
      </c>
      <c r="G382" s="1" t="s">
        <v>97</v>
      </c>
      <c r="H382" s="1" t="s">
        <v>20</v>
      </c>
      <c r="I382" s="1" t="s">
        <v>21</v>
      </c>
      <c r="J382" s="7">
        <v>55</v>
      </c>
      <c r="K382" s="7">
        <v>61.9</v>
      </c>
      <c r="L382" s="8">
        <v>330</v>
      </c>
      <c r="M382" s="8">
        <v>371.4</v>
      </c>
      <c r="N382">
        <v>11</v>
      </c>
      <c r="O382" t="s">
        <v>130</v>
      </c>
      <c r="P382" t="s">
        <v>119</v>
      </c>
    </row>
    <row r="383" spans="1:16" x14ac:dyDescent="0.25">
      <c r="A383" s="10">
        <v>45941</v>
      </c>
      <c r="B383" s="1" t="s">
        <v>54</v>
      </c>
      <c r="C383" s="2">
        <v>8</v>
      </c>
      <c r="D383" s="1" t="s">
        <v>12</v>
      </c>
      <c r="E383" s="1" t="s">
        <v>23</v>
      </c>
      <c r="F383" s="3">
        <v>0.1</v>
      </c>
      <c r="G383" s="1" t="s">
        <v>55</v>
      </c>
      <c r="H383" s="1" t="s">
        <v>43</v>
      </c>
      <c r="I383" s="1" t="s">
        <v>26</v>
      </c>
      <c r="J383" s="7">
        <v>71</v>
      </c>
      <c r="K383" s="7">
        <v>72.22</v>
      </c>
      <c r="L383" s="8">
        <v>568</v>
      </c>
      <c r="M383" s="8">
        <v>577.76</v>
      </c>
      <c r="N383">
        <v>11</v>
      </c>
      <c r="O383" t="s">
        <v>130</v>
      </c>
      <c r="P383" t="s">
        <v>119</v>
      </c>
    </row>
    <row r="384" spans="1:16" x14ac:dyDescent="0.25">
      <c r="A384" s="10">
        <v>45941</v>
      </c>
      <c r="B384" s="1" t="s">
        <v>41</v>
      </c>
      <c r="C384" s="2">
        <v>10</v>
      </c>
      <c r="D384" s="1" t="s">
        <v>18</v>
      </c>
      <c r="E384" s="1" t="s">
        <v>13</v>
      </c>
      <c r="F384" s="3">
        <v>0</v>
      </c>
      <c r="G384" s="1" t="s">
        <v>42</v>
      </c>
      <c r="H384" s="1" t="s">
        <v>43</v>
      </c>
      <c r="I384" s="1" t="s">
        <v>26</v>
      </c>
      <c r="J384" s="7">
        <v>75</v>
      </c>
      <c r="K384" s="7">
        <v>81.09</v>
      </c>
      <c r="L384" s="8">
        <v>750</v>
      </c>
      <c r="M384" s="8">
        <v>810.90000000000009</v>
      </c>
      <c r="N384">
        <v>11</v>
      </c>
      <c r="O384" t="s">
        <v>130</v>
      </c>
      <c r="P384" t="s">
        <v>119</v>
      </c>
    </row>
    <row r="385" spans="1:16" x14ac:dyDescent="0.25">
      <c r="A385" s="10">
        <v>45945</v>
      </c>
      <c r="B385" s="1" t="s">
        <v>34</v>
      </c>
      <c r="C385" s="2">
        <v>5</v>
      </c>
      <c r="D385" s="1" t="s">
        <v>18</v>
      </c>
      <c r="E385" s="1" t="s">
        <v>13</v>
      </c>
      <c r="F385" s="3">
        <v>0</v>
      </c>
      <c r="G385" s="1" t="s">
        <v>35</v>
      </c>
      <c r="H385" s="1" t="s">
        <v>20</v>
      </c>
      <c r="I385" s="1" t="s">
        <v>16</v>
      </c>
      <c r="J385" s="7">
        <v>5</v>
      </c>
      <c r="K385" s="7">
        <v>5.6</v>
      </c>
      <c r="L385" s="8">
        <v>25</v>
      </c>
      <c r="M385" s="8">
        <v>28</v>
      </c>
      <c r="N385">
        <v>15</v>
      </c>
      <c r="O385" t="s">
        <v>130</v>
      </c>
      <c r="P385" t="s">
        <v>119</v>
      </c>
    </row>
    <row r="386" spans="1:16" x14ac:dyDescent="0.25">
      <c r="A386" s="10">
        <v>45945</v>
      </c>
      <c r="B386" s="1" t="s">
        <v>64</v>
      </c>
      <c r="C386" s="2">
        <v>5</v>
      </c>
      <c r="D386" s="1" t="s">
        <v>18</v>
      </c>
      <c r="E386" s="1" t="s">
        <v>13</v>
      </c>
      <c r="F386" s="3">
        <v>0</v>
      </c>
      <c r="G386" s="1" t="s">
        <v>65</v>
      </c>
      <c r="H386" s="1" t="s">
        <v>25</v>
      </c>
      <c r="I386" s="1" t="s">
        <v>26</v>
      </c>
      <c r="J386" s="7">
        <v>60</v>
      </c>
      <c r="K386" s="7">
        <v>68.47</v>
      </c>
      <c r="L386" s="8">
        <v>300</v>
      </c>
      <c r="M386" s="8">
        <v>342.35</v>
      </c>
      <c r="N386">
        <v>15</v>
      </c>
      <c r="O386" t="s">
        <v>130</v>
      </c>
      <c r="P386" t="s">
        <v>119</v>
      </c>
    </row>
    <row r="387" spans="1:16" x14ac:dyDescent="0.25">
      <c r="A387" s="10">
        <v>45946</v>
      </c>
      <c r="B387" s="1" t="s">
        <v>66</v>
      </c>
      <c r="C387" s="2">
        <v>8</v>
      </c>
      <c r="D387" s="1" t="s">
        <v>12</v>
      </c>
      <c r="E387" s="1" t="s">
        <v>13</v>
      </c>
      <c r="F387" s="3">
        <v>0.02</v>
      </c>
      <c r="G387" s="1" t="s">
        <v>67</v>
      </c>
      <c r="H387" s="1" t="s">
        <v>15</v>
      </c>
      <c r="I387" s="1" t="s">
        <v>21</v>
      </c>
      <c r="J387" s="7">
        <v>61</v>
      </c>
      <c r="K387" s="7">
        <v>70.42</v>
      </c>
      <c r="L387" s="8">
        <v>488</v>
      </c>
      <c r="M387" s="8">
        <v>563.36</v>
      </c>
      <c r="N387">
        <v>16</v>
      </c>
      <c r="O387" t="s">
        <v>130</v>
      </c>
      <c r="P387" t="s">
        <v>119</v>
      </c>
    </row>
    <row r="388" spans="1:16" x14ac:dyDescent="0.25">
      <c r="A388" s="10">
        <v>45946</v>
      </c>
      <c r="B388" s="1" t="s">
        <v>110</v>
      </c>
      <c r="C388" s="2">
        <v>14</v>
      </c>
      <c r="D388" s="1" t="s">
        <v>12</v>
      </c>
      <c r="E388" s="1" t="s">
        <v>13</v>
      </c>
      <c r="F388" s="3">
        <v>0</v>
      </c>
      <c r="G388" s="1" t="s">
        <v>111</v>
      </c>
      <c r="H388" s="1" t="s">
        <v>25</v>
      </c>
      <c r="I388" s="1" t="s">
        <v>26</v>
      </c>
      <c r="J388" s="7">
        <v>112</v>
      </c>
      <c r="K388" s="7">
        <v>121.39</v>
      </c>
      <c r="L388" s="8">
        <v>1568</v>
      </c>
      <c r="M388" s="8">
        <v>1699.46</v>
      </c>
      <c r="N388">
        <v>16</v>
      </c>
      <c r="O388" t="s">
        <v>130</v>
      </c>
      <c r="P388" t="s">
        <v>119</v>
      </c>
    </row>
    <row r="389" spans="1:16" x14ac:dyDescent="0.25">
      <c r="A389" s="10">
        <v>45947</v>
      </c>
      <c r="B389" s="1" t="s">
        <v>62</v>
      </c>
      <c r="C389" s="2">
        <v>12</v>
      </c>
      <c r="D389" s="1" t="s">
        <v>13</v>
      </c>
      <c r="E389" s="1" t="s">
        <v>23</v>
      </c>
      <c r="F389" s="3">
        <v>0</v>
      </c>
      <c r="G389" s="1" t="s">
        <v>63</v>
      </c>
      <c r="H389" s="1" t="s">
        <v>15</v>
      </c>
      <c r="I389" s="1" t="s">
        <v>38</v>
      </c>
      <c r="J389" s="7">
        <v>95</v>
      </c>
      <c r="K389" s="7">
        <v>110.75</v>
      </c>
      <c r="L389" s="8">
        <v>1140</v>
      </c>
      <c r="M389" s="8">
        <v>1329</v>
      </c>
      <c r="N389">
        <v>17</v>
      </c>
      <c r="O389" t="s">
        <v>130</v>
      </c>
      <c r="P389" t="s">
        <v>119</v>
      </c>
    </row>
    <row r="390" spans="1:16" x14ac:dyDescent="0.25">
      <c r="A390" s="10">
        <v>45947</v>
      </c>
      <c r="B390" s="1" t="s">
        <v>112</v>
      </c>
      <c r="C390" s="2">
        <v>6</v>
      </c>
      <c r="D390" s="1" t="s">
        <v>13</v>
      </c>
      <c r="E390" s="1" t="s">
        <v>23</v>
      </c>
      <c r="F390" s="3">
        <v>0.02</v>
      </c>
      <c r="G390" s="1" t="s">
        <v>113</v>
      </c>
      <c r="H390" s="1" t="s">
        <v>20</v>
      </c>
      <c r="I390" s="1" t="s">
        <v>16</v>
      </c>
      <c r="J390" s="7">
        <v>9</v>
      </c>
      <c r="K390" s="7">
        <v>9.5500000000000007</v>
      </c>
      <c r="L390" s="8">
        <v>54</v>
      </c>
      <c r="M390" s="8">
        <v>57.300000000000004</v>
      </c>
      <c r="N390">
        <v>17</v>
      </c>
      <c r="O390" t="s">
        <v>130</v>
      </c>
      <c r="P390" t="s">
        <v>119</v>
      </c>
    </row>
    <row r="391" spans="1:16" x14ac:dyDescent="0.25">
      <c r="A391" s="10">
        <v>45948</v>
      </c>
      <c r="B391" s="1" t="s">
        <v>80</v>
      </c>
      <c r="C391" s="2">
        <v>5</v>
      </c>
      <c r="D391" s="1" t="s">
        <v>13</v>
      </c>
      <c r="E391" s="1" t="s">
        <v>23</v>
      </c>
      <c r="F391" s="3">
        <v>0</v>
      </c>
      <c r="G391" s="1" t="s">
        <v>81</v>
      </c>
      <c r="H391" s="1" t="s">
        <v>20</v>
      </c>
      <c r="I391" s="1" t="s">
        <v>26</v>
      </c>
      <c r="J391" s="7">
        <v>93</v>
      </c>
      <c r="K391" s="7">
        <v>103.05</v>
      </c>
      <c r="L391" s="8">
        <v>465</v>
      </c>
      <c r="M391" s="8">
        <v>515.25</v>
      </c>
      <c r="N391">
        <v>18</v>
      </c>
      <c r="O391" t="s">
        <v>130</v>
      </c>
      <c r="P391" t="s">
        <v>119</v>
      </c>
    </row>
    <row r="392" spans="1:16" x14ac:dyDescent="0.25">
      <c r="A392" s="10">
        <v>45948</v>
      </c>
      <c r="B392" s="1" t="s">
        <v>54</v>
      </c>
      <c r="C392" s="2">
        <v>3</v>
      </c>
      <c r="D392" s="1" t="s">
        <v>18</v>
      </c>
      <c r="E392" s="1" t="s">
        <v>23</v>
      </c>
      <c r="F392" s="3">
        <v>0</v>
      </c>
      <c r="G392" s="1" t="s">
        <v>55</v>
      </c>
      <c r="H392" s="1" t="s">
        <v>43</v>
      </c>
      <c r="I392" s="1" t="s">
        <v>26</v>
      </c>
      <c r="J392" s="7">
        <v>71</v>
      </c>
      <c r="K392" s="7">
        <v>77.42</v>
      </c>
      <c r="L392" s="8">
        <v>213</v>
      </c>
      <c r="M392" s="8">
        <v>232.26</v>
      </c>
      <c r="N392">
        <v>18</v>
      </c>
      <c r="O392" t="s">
        <v>130</v>
      </c>
      <c r="P392" t="s">
        <v>119</v>
      </c>
    </row>
    <row r="393" spans="1:16" x14ac:dyDescent="0.25">
      <c r="A393" s="10">
        <v>45949</v>
      </c>
      <c r="B393" s="1" t="s">
        <v>62</v>
      </c>
      <c r="C393" s="2">
        <v>10</v>
      </c>
      <c r="D393" s="1" t="s">
        <v>18</v>
      </c>
      <c r="E393" s="1" t="s">
        <v>23</v>
      </c>
      <c r="F393" s="3">
        <v>0</v>
      </c>
      <c r="G393" s="1" t="s">
        <v>63</v>
      </c>
      <c r="H393" s="1" t="s">
        <v>15</v>
      </c>
      <c r="I393" s="1" t="s">
        <v>38</v>
      </c>
      <c r="J393" s="7">
        <v>95</v>
      </c>
      <c r="K393" s="7">
        <v>108.14</v>
      </c>
      <c r="L393" s="8">
        <v>950</v>
      </c>
      <c r="M393" s="8">
        <v>1081.4000000000001</v>
      </c>
      <c r="N393">
        <v>19</v>
      </c>
      <c r="O393" t="s">
        <v>130</v>
      </c>
      <c r="P393" t="s">
        <v>119</v>
      </c>
    </row>
    <row r="394" spans="1:16" x14ac:dyDescent="0.25">
      <c r="A394" s="10">
        <v>45951</v>
      </c>
      <c r="B394" s="1" t="s">
        <v>58</v>
      </c>
      <c r="C394" s="2">
        <v>5</v>
      </c>
      <c r="D394" s="1" t="s">
        <v>18</v>
      </c>
      <c r="E394" s="1" t="s">
        <v>23</v>
      </c>
      <c r="F394" s="3">
        <v>0.02</v>
      </c>
      <c r="G394" s="1" t="s">
        <v>59</v>
      </c>
      <c r="H394" s="1" t="s">
        <v>43</v>
      </c>
      <c r="I394" s="1" t="s">
        <v>26</v>
      </c>
      <c r="J394" s="7">
        <v>98</v>
      </c>
      <c r="K394" s="7">
        <v>108.19</v>
      </c>
      <c r="L394" s="8">
        <v>490</v>
      </c>
      <c r="M394" s="8">
        <v>540.95000000000005</v>
      </c>
      <c r="N394">
        <v>21</v>
      </c>
      <c r="O394" t="s">
        <v>130</v>
      </c>
      <c r="P394" t="s">
        <v>119</v>
      </c>
    </row>
    <row r="395" spans="1:16" x14ac:dyDescent="0.25">
      <c r="A395" s="10">
        <v>45951</v>
      </c>
      <c r="B395" s="1" t="s">
        <v>86</v>
      </c>
      <c r="C395" s="2">
        <v>14</v>
      </c>
      <c r="D395" s="1" t="s">
        <v>18</v>
      </c>
      <c r="E395" s="1" t="s">
        <v>13</v>
      </c>
      <c r="F395" s="3">
        <v>0.05</v>
      </c>
      <c r="G395" s="1" t="s">
        <v>87</v>
      </c>
      <c r="H395" s="1" t="s">
        <v>20</v>
      </c>
      <c r="I395" s="1" t="s">
        <v>21</v>
      </c>
      <c r="J395" s="7">
        <v>53</v>
      </c>
      <c r="K395" s="7">
        <v>55.25</v>
      </c>
      <c r="L395" s="8">
        <v>742</v>
      </c>
      <c r="M395" s="8">
        <v>773.5</v>
      </c>
      <c r="N395">
        <v>21</v>
      </c>
      <c r="O395" t="s">
        <v>130</v>
      </c>
      <c r="P395" t="s">
        <v>119</v>
      </c>
    </row>
    <row r="396" spans="1:16" x14ac:dyDescent="0.25">
      <c r="A396" s="10">
        <v>45952</v>
      </c>
      <c r="B396" s="1" t="s">
        <v>11</v>
      </c>
      <c r="C396" s="2">
        <v>6</v>
      </c>
      <c r="D396" s="1" t="s">
        <v>12</v>
      </c>
      <c r="E396" s="1" t="s">
        <v>23</v>
      </c>
      <c r="F396" s="3">
        <v>0.08</v>
      </c>
      <c r="G396" s="1" t="s">
        <v>14</v>
      </c>
      <c r="H396" s="1" t="s">
        <v>15</v>
      </c>
      <c r="I396" s="1" t="s">
        <v>16</v>
      </c>
      <c r="J396" s="7">
        <v>7</v>
      </c>
      <c r="K396" s="7">
        <v>7.47</v>
      </c>
      <c r="L396" s="8">
        <v>42</v>
      </c>
      <c r="M396" s="8">
        <v>44.82</v>
      </c>
      <c r="N396">
        <v>22</v>
      </c>
      <c r="O396" t="s">
        <v>130</v>
      </c>
      <c r="P396" t="s">
        <v>119</v>
      </c>
    </row>
    <row r="397" spans="1:16" x14ac:dyDescent="0.25">
      <c r="A397" s="10">
        <v>45953</v>
      </c>
      <c r="B397" s="1" t="s">
        <v>106</v>
      </c>
      <c r="C397" s="2">
        <v>10</v>
      </c>
      <c r="D397" s="1" t="s">
        <v>12</v>
      </c>
      <c r="E397" s="1" t="s">
        <v>13</v>
      </c>
      <c r="F397" s="3">
        <v>0</v>
      </c>
      <c r="G397" s="1" t="s">
        <v>107</v>
      </c>
      <c r="H397" s="1" t="s">
        <v>25</v>
      </c>
      <c r="I397" s="1" t="s">
        <v>21</v>
      </c>
      <c r="J397" s="7">
        <v>39</v>
      </c>
      <c r="K397" s="7">
        <v>42.3</v>
      </c>
      <c r="L397" s="8">
        <v>390</v>
      </c>
      <c r="M397" s="8">
        <v>423</v>
      </c>
      <c r="N397">
        <v>23</v>
      </c>
      <c r="O397" t="s">
        <v>130</v>
      </c>
      <c r="P397" t="s">
        <v>119</v>
      </c>
    </row>
    <row r="398" spans="1:16" x14ac:dyDescent="0.25">
      <c r="A398" s="10">
        <v>45954</v>
      </c>
      <c r="B398" s="1" t="s">
        <v>72</v>
      </c>
      <c r="C398" s="2">
        <v>4</v>
      </c>
      <c r="D398" s="1" t="s">
        <v>18</v>
      </c>
      <c r="E398" s="1" t="s">
        <v>13</v>
      </c>
      <c r="F398" s="3">
        <v>0</v>
      </c>
      <c r="G398" s="1" t="s">
        <v>73</v>
      </c>
      <c r="H398" s="1" t="s">
        <v>33</v>
      </c>
      <c r="I398" s="1" t="s">
        <v>26</v>
      </c>
      <c r="J398" s="7">
        <v>67</v>
      </c>
      <c r="K398" s="7">
        <v>76.569999999999993</v>
      </c>
      <c r="L398" s="8">
        <v>268</v>
      </c>
      <c r="M398" s="8">
        <v>306.27999999999997</v>
      </c>
      <c r="N398">
        <v>24</v>
      </c>
      <c r="O398" t="s">
        <v>130</v>
      </c>
      <c r="P398" t="s">
        <v>119</v>
      </c>
    </row>
    <row r="399" spans="1:16" x14ac:dyDescent="0.25">
      <c r="A399" s="10">
        <v>45954</v>
      </c>
      <c r="B399" s="1" t="s">
        <v>70</v>
      </c>
      <c r="C399" s="2">
        <v>1</v>
      </c>
      <c r="D399" s="1" t="s">
        <v>13</v>
      </c>
      <c r="E399" s="1" t="s">
        <v>23</v>
      </c>
      <c r="F399" s="3">
        <v>0</v>
      </c>
      <c r="G399" s="1" t="s">
        <v>71</v>
      </c>
      <c r="H399" s="1" t="s">
        <v>43</v>
      </c>
      <c r="I399" s="1" t="s">
        <v>21</v>
      </c>
      <c r="J399" s="7">
        <v>52</v>
      </c>
      <c r="K399" s="7">
        <v>56.47</v>
      </c>
      <c r="L399" s="8">
        <v>52</v>
      </c>
      <c r="M399" s="8">
        <v>56.47</v>
      </c>
      <c r="N399">
        <v>24</v>
      </c>
      <c r="O399" t="s">
        <v>130</v>
      </c>
      <c r="P399" t="s">
        <v>119</v>
      </c>
    </row>
    <row r="400" spans="1:16" x14ac:dyDescent="0.25">
      <c r="A400" s="10">
        <v>45955</v>
      </c>
      <c r="B400" s="1" t="s">
        <v>31</v>
      </c>
      <c r="C400" s="2">
        <v>10</v>
      </c>
      <c r="D400" s="1" t="s">
        <v>13</v>
      </c>
      <c r="E400" s="1" t="s">
        <v>13</v>
      </c>
      <c r="F400" s="3">
        <v>0</v>
      </c>
      <c r="G400" s="1" t="s">
        <v>32</v>
      </c>
      <c r="H400" s="1" t="s">
        <v>33</v>
      </c>
      <c r="I400" s="1" t="s">
        <v>21</v>
      </c>
      <c r="J400" s="7">
        <v>63</v>
      </c>
      <c r="K400" s="7">
        <v>72.91</v>
      </c>
      <c r="L400" s="8">
        <v>630</v>
      </c>
      <c r="M400" s="8">
        <v>729.09999999999991</v>
      </c>
      <c r="N400">
        <v>25</v>
      </c>
      <c r="O400" t="s">
        <v>130</v>
      </c>
      <c r="P400" t="s">
        <v>119</v>
      </c>
    </row>
    <row r="401" spans="1:16" x14ac:dyDescent="0.25">
      <c r="A401" s="10">
        <v>45956</v>
      </c>
      <c r="B401" s="1" t="s">
        <v>66</v>
      </c>
      <c r="C401" s="2">
        <v>13</v>
      </c>
      <c r="D401" s="1" t="s">
        <v>12</v>
      </c>
      <c r="E401" s="1" t="s">
        <v>23</v>
      </c>
      <c r="F401" s="3">
        <v>0</v>
      </c>
      <c r="G401" s="1" t="s">
        <v>67</v>
      </c>
      <c r="H401" s="1" t="s">
        <v>15</v>
      </c>
      <c r="I401" s="1" t="s">
        <v>21</v>
      </c>
      <c r="J401" s="7">
        <v>61</v>
      </c>
      <c r="K401" s="7">
        <v>69.88</v>
      </c>
      <c r="L401" s="8">
        <v>793</v>
      </c>
      <c r="M401" s="8">
        <v>908.43999999999994</v>
      </c>
      <c r="N401">
        <v>26</v>
      </c>
      <c r="O401" t="s">
        <v>130</v>
      </c>
      <c r="P401" t="s">
        <v>119</v>
      </c>
    </row>
    <row r="402" spans="1:16" x14ac:dyDescent="0.25">
      <c r="A402" s="10">
        <v>45957</v>
      </c>
      <c r="B402" s="1" t="s">
        <v>80</v>
      </c>
      <c r="C402" s="2">
        <v>9</v>
      </c>
      <c r="D402" s="1" t="s">
        <v>12</v>
      </c>
      <c r="E402" s="1" t="s">
        <v>23</v>
      </c>
      <c r="F402" s="3">
        <v>0.02</v>
      </c>
      <c r="G402" s="1" t="s">
        <v>81</v>
      </c>
      <c r="H402" s="1" t="s">
        <v>20</v>
      </c>
      <c r="I402" s="1" t="s">
        <v>26</v>
      </c>
      <c r="J402" s="7">
        <v>93</v>
      </c>
      <c r="K402" s="7">
        <v>106.19</v>
      </c>
      <c r="L402" s="8">
        <v>837</v>
      </c>
      <c r="M402" s="8">
        <v>955.71</v>
      </c>
      <c r="N402">
        <v>27</v>
      </c>
      <c r="O402" t="s">
        <v>130</v>
      </c>
      <c r="P402" t="s">
        <v>119</v>
      </c>
    </row>
    <row r="403" spans="1:16" x14ac:dyDescent="0.25">
      <c r="A403" s="10">
        <v>45957</v>
      </c>
      <c r="B403" s="1" t="s">
        <v>100</v>
      </c>
      <c r="C403" s="2">
        <v>3</v>
      </c>
      <c r="D403" s="1" t="s">
        <v>13</v>
      </c>
      <c r="E403" s="1" t="s">
        <v>13</v>
      </c>
      <c r="F403" s="3">
        <v>0</v>
      </c>
      <c r="G403" s="1" t="s">
        <v>101</v>
      </c>
      <c r="H403" s="1" t="s">
        <v>25</v>
      </c>
      <c r="I403" s="1" t="s">
        <v>26</v>
      </c>
      <c r="J403" s="7">
        <v>88</v>
      </c>
      <c r="K403" s="7">
        <v>98.62</v>
      </c>
      <c r="L403" s="8">
        <v>264</v>
      </c>
      <c r="M403" s="8">
        <v>295.86</v>
      </c>
      <c r="N403">
        <v>27</v>
      </c>
      <c r="O403" t="s">
        <v>130</v>
      </c>
      <c r="P403" t="s">
        <v>119</v>
      </c>
    </row>
    <row r="404" spans="1:16" x14ac:dyDescent="0.25">
      <c r="A404" s="10">
        <v>45958</v>
      </c>
      <c r="B404" s="1" t="s">
        <v>50</v>
      </c>
      <c r="C404" s="2">
        <v>9</v>
      </c>
      <c r="D404" s="1" t="s">
        <v>13</v>
      </c>
      <c r="E404" s="1" t="s">
        <v>23</v>
      </c>
      <c r="F404" s="3">
        <v>0</v>
      </c>
      <c r="G404" s="1" t="s">
        <v>51</v>
      </c>
      <c r="H404" s="1" t="s">
        <v>33</v>
      </c>
      <c r="I404" s="1" t="s">
        <v>26</v>
      </c>
      <c r="J404" s="7">
        <v>102</v>
      </c>
      <c r="K404" s="7">
        <v>119.07</v>
      </c>
      <c r="L404" s="8">
        <v>918</v>
      </c>
      <c r="M404" s="8">
        <v>1071.6299999999999</v>
      </c>
      <c r="N404">
        <v>28</v>
      </c>
      <c r="O404" t="s">
        <v>130</v>
      </c>
      <c r="P404" t="s">
        <v>119</v>
      </c>
    </row>
    <row r="405" spans="1:16" x14ac:dyDescent="0.25">
      <c r="A405" s="10">
        <v>45958</v>
      </c>
      <c r="B405" s="1" t="s">
        <v>29</v>
      </c>
      <c r="C405" s="2">
        <v>15</v>
      </c>
      <c r="D405" s="1" t="s">
        <v>12</v>
      </c>
      <c r="E405" s="1" t="s">
        <v>23</v>
      </c>
      <c r="F405" s="3">
        <v>0</v>
      </c>
      <c r="G405" s="1" t="s">
        <v>30</v>
      </c>
      <c r="H405" s="1" t="s">
        <v>15</v>
      </c>
      <c r="I405" s="1" t="s">
        <v>16</v>
      </c>
      <c r="J405" s="7">
        <v>12</v>
      </c>
      <c r="K405" s="7">
        <v>13.74</v>
      </c>
      <c r="L405" s="8">
        <v>180</v>
      </c>
      <c r="M405" s="8">
        <v>206.1</v>
      </c>
      <c r="N405">
        <v>28</v>
      </c>
      <c r="O405" t="s">
        <v>130</v>
      </c>
      <c r="P405" t="s">
        <v>119</v>
      </c>
    </row>
    <row r="406" spans="1:16" x14ac:dyDescent="0.25">
      <c r="A406" s="10">
        <v>45959</v>
      </c>
      <c r="B406" s="1" t="s">
        <v>94</v>
      </c>
      <c r="C406" s="2">
        <v>9</v>
      </c>
      <c r="D406" s="1" t="s">
        <v>13</v>
      </c>
      <c r="E406" s="1" t="s">
        <v>13</v>
      </c>
      <c r="F406" s="3">
        <v>0</v>
      </c>
      <c r="G406" s="1" t="s">
        <v>95</v>
      </c>
      <c r="H406" s="1" t="s">
        <v>20</v>
      </c>
      <c r="I406" s="1" t="s">
        <v>26</v>
      </c>
      <c r="J406" s="7">
        <v>56</v>
      </c>
      <c r="K406" s="7">
        <v>61.72</v>
      </c>
      <c r="L406" s="8">
        <v>504</v>
      </c>
      <c r="M406" s="8">
        <v>555.48</v>
      </c>
      <c r="N406">
        <v>29</v>
      </c>
      <c r="O406" t="s">
        <v>130</v>
      </c>
      <c r="P406" t="s">
        <v>119</v>
      </c>
    </row>
    <row r="407" spans="1:16" x14ac:dyDescent="0.25">
      <c r="A407" s="10">
        <v>45959</v>
      </c>
      <c r="B407" s="1" t="s">
        <v>31</v>
      </c>
      <c r="C407" s="2">
        <v>9</v>
      </c>
      <c r="D407" s="1" t="s">
        <v>13</v>
      </c>
      <c r="E407" s="1" t="s">
        <v>23</v>
      </c>
      <c r="F407" s="3">
        <v>0</v>
      </c>
      <c r="G407" s="1" t="s">
        <v>32</v>
      </c>
      <c r="H407" s="1" t="s">
        <v>33</v>
      </c>
      <c r="I407" s="1" t="s">
        <v>21</v>
      </c>
      <c r="J407" s="7">
        <v>63</v>
      </c>
      <c r="K407" s="7">
        <v>69.900000000000006</v>
      </c>
      <c r="L407" s="8">
        <v>567</v>
      </c>
      <c r="M407" s="8">
        <v>629.1</v>
      </c>
      <c r="N407">
        <v>29</v>
      </c>
      <c r="O407" t="s">
        <v>130</v>
      </c>
      <c r="P407" t="s">
        <v>119</v>
      </c>
    </row>
    <row r="408" spans="1:16" x14ac:dyDescent="0.25">
      <c r="A408" s="10">
        <v>45961</v>
      </c>
      <c r="B408" s="1" t="s">
        <v>46</v>
      </c>
      <c r="C408" s="2">
        <v>6</v>
      </c>
      <c r="D408" s="1" t="s">
        <v>12</v>
      </c>
      <c r="E408" s="1" t="s">
        <v>23</v>
      </c>
      <c r="F408" s="3">
        <v>0.1</v>
      </c>
      <c r="G408" s="1" t="s">
        <v>47</v>
      </c>
      <c r="H408" s="1" t="s">
        <v>15</v>
      </c>
      <c r="I408" s="1" t="s">
        <v>16</v>
      </c>
      <c r="J408" s="7">
        <v>8</v>
      </c>
      <c r="K408" s="7">
        <v>7.96</v>
      </c>
      <c r="L408" s="8">
        <v>48</v>
      </c>
      <c r="M408" s="8">
        <v>47.76</v>
      </c>
      <c r="N408">
        <v>31</v>
      </c>
      <c r="O408" t="s">
        <v>130</v>
      </c>
      <c r="P408" t="s">
        <v>119</v>
      </c>
    </row>
    <row r="409" spans="1:16" x14ac:dyDescent="0.25">
      <c r="A409" s="10">
        <v>45961</v>
      </c>
      <c r="B409" s="1" t="s">
        <v>100</v>
      </c>
      <c r="C409" s="2">
        <v>8</v>
      </c>
      <c r="D409" s="1" t="s">
        <v>18</v>
      </c>
      <c r="E409" s="1" t="s">
        <v>23</v>
      </c>
      <c r="F409" s="3">
        <v>0</v>
      </c>
      <c r="G409" s="1" t="s">
        <v>101</v>
      </c>
      <c r="H409" s="1" t="s">
        <v>25</v>
      </c>
      <c r="I409" s="1" t="s">
        <v>26</v>
      </c>
      <c r="J409" s="7">
        <v>88</v>
      </c>
      <c r="K409" s="7">
        <v>103.04</v>
      </c>
      <c r="L409" s="8">
        <v>704</v>
      </c>
      <c r="M409" s="8">
        <v>824.32</v>
      </c>
      <c r="N409">
        <v>31</v>
      </c>
      <c r="O409" t="s">
        <v>130</v>
      </c>
      <c r="P409" t="s">
        <v>119</v>
      </c>
    </row>
    <row r="410" spans="1:16" x14ac:dyDescent="0.25">
      <c r="A410" s="10">
        <v>45961</v>
      </c>
      <c r="B410" s="1" t="s">
        <v>68</v>
      </c>
      <c r="C410" s="2">
        <v>9</v>
      </c>
      <c r="D410" s="1" t="s">
        <v>18</v>
      </c>
      <c r="E410" s="1" t="s">
        <v>23</v>
      </c>
      <c r="F410" s="3">
        <v>0.05</v>
      </c>
      <c r="G410" s="1" t="s">
        <v>69</v>
      </c>
      <c r="H410" s="1" t="s">
        <v>15</v>
      </c>
      <c r="I410" s="1" t="s">
        <v>38</v>
      </c>
      <c r="J410" s="7">
        <v>130</v>
      </c>
      <c r="K410" s="7">
        <v>143.47</v>
      </c>
      <c r="L410" s="8">
        <v>1170</v>
      </c>
      <c r="M410" s="8">
        <v>1291.23</v>
      </c>
      <c r="N410">
        <v>31</v>
      </c>
      <c r="O410" t="s">
        <v>130</v>
      </c>
      <c r="P410" t="s">
        <v>119</v>
      </c>
    </row>
    <row r="411" spans="1:16" x14ac:dyDescent="0.25">
      <c r="A411" s="10">
        <v>45962</v>
      </c>
      <c r="B411" s="1" t="s">
        <v>54</v>
      </c>
      <c r="C411" s="2">
        <v>8</v>
      </c>
      <c r="D411" s="1" t="s">
        <v>18</v>
      </c>
      <c r="E411" s="1" t="s">
        <v>23</v>
      </c>
      <c r="F411" s="3">
        <v>0</v>
      </c>
      <c r="G411" s="1" t="s">
        <v>55</v>
      </c>
      <c r="H411" s="1" t="s">
        <v>43</v>
      </c>
      <c r="I411" s="1" t="s">
        <v>26</v>
      </c>
      <c r="J411" s="7">
        <v>71</v>
      </c>
      <c r="K411" s="7">
        <v>76.989999999999995</v>
      </c>
      <c r="L411" s="8">
        <v>568</v>
      </c>
      <c r="M411" s="8">
        <v>615.91999999999996</v>
      </c>
      <c r="N411">
        <v>1</v>
      </c>
      <c r="O411" t="s">
        <v>131</v>
      </c>
      <c r="P411" t="s">
        <v>119</v>
      </c>
    </row>
    <row r="412" spans="1:16" x14ac:dyDescent="0.25">
      <c r="A412" s="10">
        <v>45962</v>
      </c>
      <c r="B412" s="1" t="s">
        <v>39</v>
      </c>
      <c r="C412" s="2">
        <v>15</v>
      </c>
      <c r="D412" s="1" t="s">
        <v>13</v>
      </c>
      <c r="E412" s="1" t="s">
        <v>23</v>
      </c>
      <c r="F412" s="3">
        <v>0</v>
      </c>
      <c r="G412" s="1" t="s">
        <v>40</v>
      </c>
      <c r="H412" s="1" t="s">
        <v>33</v>
      </c>
      <c r="I412" s="1" t="s">
        <v>38</v>
      </c>
      <c r="J412" s="7">
        <v>98</v>
      </c>
      <c r="K412" s="7">
        <v>109.32</v>
      </c>
      <c r="L412" s="8">
        <v>1470</v>
      </c>
      <c r="M412" s="8">
        <v>1639.8</v>
      </c>
      <c r="N412">
        <v>1</v>
      </c>
      <c r="O412" t="s">
        <v>131</v>
      </c>
      <c r="P412" t="s">
        <v>119</v>
      </c>
    </row>
    <row r="413" spans="1:16" x14ac:dyDescent="0.25">
      <c r="A413" s="10">
        <v>45963</v>
      </c>
      <c r="B413" s="1" t="s">
        <v>86</v>
      </c>
      <c r="C413" s="2">
        <v>6</v>
      </c>
      <c r="D413" s="1" t="s">
        <v>18</v>
      </c>
      <c r="E413" s="1" t="s">
        <v>13</v>
      </c>
      <c r="F413" s="3">
        <v>0</v>
      </c>
      <c r="G413" s="1" t="s">
        <v>87</v>
      </c>
      <c r="H413" s="1" t="s">
        <v>20</v>
      </c>
      <c r="I413" s="1" t="s">
        <v>21</v>
      </c>
      <c r="J413" s="7">
        <v>53</v>
      </c>
      <c r="K413" s="7">
        <v>62.46</v>
      </c>
      <c r="L413" s="8">
        <v>318</v>
      </c>
      <c r="M413" s="8">
        <v>374.76</v>
      </c>
      <c r="N413">
        <v>2</v>
      </c>
      <c r="O413" t="s">
        <v>131</v>
      </c>
      <c r="P413" t="s">
        <v>119</v>
      </c>
    </row>
    <row r="414" spans="1:16" x14ac:dyDescent="0.25">
      <c r="A414" s="10">
        <v>45964</v>
      </c>
      <c r="B414" s="1" t="s">
        <v>112</v>
      </c>
      <c r="C414" s="2">
        <v>12</v>
      </c>
      <c r="D414" s="1" t="s">
        <v>12</v>
      </c>
      <c r="E414" s="1" t="s">
        <v>23</v>
      </c>
      <c r="F414" s="3">
        <v>0.1</v>
      </c>
      <c r="G414" s="1" t="s">
        <v>113</v>
      </c>
      <c r="H414" s="1" t="s">
        <v>20</v>
      </c>
      <c r="I414" s="1" t="s">
        <v>16</v>
      </c>
      <c r="J414" s="7">
        <v>9</v>
      </c>
      <c r="K414" s="7">
        <v>9.0299999999999994</v>
      </c>
      <c r="L414" s="8">
        <v>108</v>
      </c>
      <c r="M414" s="8">
        <v>108.35999999999999</v>
      </c>
      <c r="N414">
        <v>3</v>
      </c>
      <c r="O414" t="s">
        <v>131</v>
      </c>
      <c r="P414" t="s">
        <v>119</v>
      </c>
    </row>
    <row r="415" spans="1:16" x14ac:dyDescent="0.25">
      <c r="A415" s="10">
        <v>45965</v>
      </c>
      <c r="B415" s="1" t="s">
        <v>78</v>
      </c>
      <c r="C415" s="2">
        <v>12</v>
      </c>
      <c r="D415" s="1" t="s">
        <v>18</v>
      </c>
      <c r="E415" s="1" t="s">
        <v>23</v>
      </c>
      <c r="F415" s="3">
        <v>0</v>
      </c>
      <c r="G415" s="1" t="s">
        <v>79</v>
      </c>
      <c r="H415" s="1" t="s">
        <v>33</v>
      </c>
      <c r="I415" s="1" t="s">
        <v>21</v>
      </c>
      <c r="J415" s="7">
        <v>41</v>
      </c>
      <c r="K415" s="7">
        <v>46.98</v>
      </c>
      <c r="L415" s="8">
        <v>492</v>
      </c>
      <c r="M415" s="8">
        <v>563.76</v>
      </c>
      <c r="N415">
        <v>4</v>
      </c>
      <c r="O415" t="s">
        <v>131</v>
      </c>
      <c r="P415" t="s">
        <v>119</v>
      </c>
    </row>
    <row r="416" spans="1:16" x14ac:dyDescent="0.25">
      <c r="A416" s="10">
        <v>45966</v>
      </c>
      <c r="B416" s="1" t="s">
        <v>108</v>
      </c>
      <c r="C416" s="2">
        <v>9</v>
      </c>
      <c r="D416" s="1" t="s">
        <v>13</v>
      </c>
      <c r="E416" s="1" t="s">
        <v>13</v>
      </c>
      <c r="F416" s="3">
        <v>0</v>
      </c>
      <c r="G416" s="1" t="s">
        <v>109</v>
      </c>
      <c r="H416" s="1" t="s">
        <v>43</v>
      </c>
      <c r="I416" s="1" t="s">
        <v>26</v>
      </c>
      <c r="J416" s="7">
        <v>65</v>
      </c>
      <c r="K416" s="7">
        <v>74.03</v>
      </c>
      <c r="L416" s="8">
        <v>585</v>
      </c>
      <c r="M416" s="8">
        <v>666.27</v>
      </c>
      <c r="N416">
        <v>5</v>
      </c>
      <c r="O416" t="s">
        <v>131</v>
      </c>
      <c r="P416" t="s">
        <v>119</v>
      </c>
    </row>
    <row r="417" spans="1:16" x14ac:dyDescent="0.25">
      <c r="A417" s="10">
        <v>45967</v>
      </c>
      <c r="B417" s="1" t="s">
        <v>29</v>
      </c>
      <c r="C417" s="2">
        <v>1</v>
      </c>
      <c r="D417" s="1" t="s">
        <v>13</v>
      </c>
      <c r="E417" s="1" t="s">
        <v>23</v>
      </c>
      <c r="F417" s="3">
        <v>0</v>
      </c>
      <c r="G417" s="1" t="s">
        <v>30</v>
      </c>
      <c r="H417" s="1" t="s">
        <v>15</v>
      </c>
      <c r="I417" s="1" t="s">
        <v>16</v>
      </c>
      <c r="J417" s="7">
        <v>12</v>
      </c>
      <c r="K417" s="7">
        <v>13.77</v>
      </c>
      <c r="L417" s="8">
        <v>12</v>
      </c>
      <c r="M417" s="8">
        <v>13.77</v>
      </c>
      <c r="N417">
        <v>6</v>
      </c>
      <c r="O417" t="s">
        <v>131</v>
      </c>
      <c r="P417" t="s">
        <v>119</v>
      </c>
    </row>
    <row r="418" spans="1:16" x14ac:dyDescent="0.25">
      <c r="A418" s="10">
        <v>45968</v>
      </c>
      <c r="B418" s="1" t="s">
        <v>102</v>
      </c>
      <c r="C418" s="2">
        <v>7</v>
      </c>
      <c r="D418" s="1" t="s">
        <v>18</v>
      </c>
      <c r="E418" s="1" t="s">
        <v>13</v>
      </c>
      <c r="F418" s="3">
        <v>0</v>
      </c>
      <c r="G418" s="1" t="s">
        <v>103</v>
      </c>
      <c r="H418" s="1" t="s">
        <v>15</v>
      </c>
      <c r="I418" s="1" t="s">
        <v>38</v>
      </c>
      <c r="J418" s="7">
        <v>144</v>
      </c>
      <c r="K418" s="7">
        <v>167.07</v>
      </c>
      <c r="L418" s="8">
        <v>1008</v>
      </c>
      <c r="M418" s="8">
        <v>1169.49</v>
      </c>
      <c r="N418">
        <v>7</v>
      </c>
      <c r="O418" t="s">
        <v>131</v>
      </c>
      <c r="P418" t="s">
        <v>119</v>
      </c>
    </row>
    <row r="419" spans="1:16" x14ac:dyDescent="0.25">
      <c r="A419" s="10">
        <v>45970</v>
      </c>
      <c r="B419" s="1" t="s">
        <v>39</v>
      </c>
      <c r="C419" s="2">
        <v>7</v>
      </c>
      <c r="D419" s="1" t="s">
        <v>13</v>
      </c>
      <c r="E419" s="1" t="s">
        <v>23</v>
      </c>
      <c r="F419" s="3">
        <v>0</v>
      </c>
      <c r="G419" s="1" t="s">
        <v>40</v>
      </c>
      <c r="H419" s="1" t="s">
        <v>33</v>
      </c>
      <c r="I419" s="1" t="s">
        <v>38</v>
      </c>
      <c r="J419" s="7">
        <v>98</v>
      </c>
      <c r="K419" s="7">
        <v>113.81</v>
      </c>
      <c r="L419" s="8">
        <v>686</v>
      </c>
      <c r="M419" s="8">
        <v>796.67000000000007</v>
      </c>
      <c r="N419">
        <v>9</v>
      </c>
      <c r="O419" t="s">
        <v>131</v>
      </c>
      <c r="P419" t="s">
        <v>119</v>
      </c>
    </row>
    <row r="420" spans="1:16" x14ac:dyDescent="0.25">
      <c r="A420" s="10">
        <v>45971</v>
      </c>
      <c r="B420" s="1" t="s">
        <v>112</v>
      </c>
      <c r="C420" s="2">
        <v>7</v>
      </c>
      <c r="D420" s="1" t="s">
        <v>12</v>
      </c>
      <c r="E420" s="1" t="s">
        <v>13</v>
      </c>
      <c r="F420" s="3">
        <v>0</v>
      </c>
      <c r="G420" s="1" t="s">
        <v>113</v>
      </c>
      <c r="H420" s="1" t="s">
        <v>20</v>
      </c>
      <c r="I420" s="1" t="s">
        <v>16</v>
      </c>
      <c r="J420" s="7">
        <v>9</v>
      </c>
      <c r="K420" s="7">
        <v>10.15</v>
      </c>
      <c r="L420" s="8">
        <v>63</v>
      </c>
      <c r="M420" s="8">
        <v>71.05</v>
      </c>
      <c r="N420">
        <v>10</v>
      </c>
      <c r="O420" t="s">
        <v>131</v>
      </c>
      <c r="P420" t="s">
        <v>119</v>
      </c>
    </row>
    <row r="421" spans="1:16" x14ac:dyDescent="0.25">
      <c r="A421" s="10">
        <v>45972</v>
      </c>
      <c r="B421" s="1" t="s">
        <v>36</v>
      </c>
      <c r="C421" s="2">
        <v>4</v>
      </c>
      <c r="D421" s="1" t="s">
        <v>18</v>
      </c>
      <c r="E421" s="1" t="s">
        <v>23</v>
      </c>
      <c r="F421" s="3">
        <v>0</v>
      </c>
      <c r="G421" s="1" t="s">
        <v>37</v>
      </c>
      <c r="H421" s="1" t="s">
        <v>15</v>
      </c>
      <c r="I421" s="1" t="s">
        <v>38</v>
      </c>
      <c r="J421" s="7">
        <v>141</v>
      </c>
      <c r="K421" s="7">
        <v>162.63</v>
      </c>
      <c r="L421" s="8">
        <v>564</v>
      </c>
      <c r="M421" s="8">
        <v>650.52</v>
      </c>
      <c r="N421">
        <v>11</v>
      </c>
      <c r="O421" t="s">
        <v>131</v>
      </c>
      <c r="P421" t="s">
        <v>119</v>
      </c>
    </row>
    <row r="422" spans="1:16" x14ac:dyDescent="0.25">
      <c r="A422" s="10">
        <v>45973</v>
      </c>
      <c r="B422" s="1" t="s">
        <v>17</v>
      </c>
      <c r="C422" s="2">
        <v>4</v>
      </c>
      <c r="D422" s="1" t="s">
        <v>12</v>
      </c>
      <c r="E422" s="1" t="s">
        <v>23</v>
      </c>
      <c r="F422" s="3">
        <v>0</v>
      </c>
      <c r="G422" s="1" t="s">
        <v>19</v>
      </c>
      <c r="H422" s="1" t="s">
        <v>20</v>
      </c>
      <c r="I422" s="1" t="s">
        <v>21</v>
      </c>
      <c r="J422" s="7">
        <v>48</v>
      </c>
      <c r="K422" s="7">
        <v>55.3</v>
      </c>
      <c r="L422" s="8">
        <v>192</v>
      </c>
      <c r="M422" s="8">
        <v>221.2</v>
      </c>
      <c r="N422">
        <v>12</v>
      </c>
      <c r="O422" t="s">
        <v>131</v>
      </c>
      <c r="P422" t="s">
        <v>119</v>
      </c>
    </row>
    <row r="423" spans="1:16" x14ac:dyDescent="0.25">
      <c r="A423" s="10">
        <v>45974</v>
      </c>
      <c r="B423" s="1" t="s">
        <v>102</v>
      </c>
      <c r="C423" s="2">
        <v>10</v>
      </c>
      <c r="D423" s="1" t="s">
        <v>13</v>
      </c>
      <c r="E423" s="1" t="s">
        <v>23</v>
      </c>
      <c r="F423" s="3">
        <v>0.02</v>
      </c>
      <c r="G423" s="1" t="s">
        <v>103</v>
      </c>
      <c r="H423" s="1" t="s">
        <v>15</v>
      </c>
      <c r="I423" s="1" t="s">
        <v>38</v>
      </c>
      <c r="J423" s="7">
        <v>144</v>
      </c>
      <c r="K423" s="7">
        <v>163.32</v>
      </c>
      <c r="L423" s="8">
        <v>1440</v>
      </c>
      <c r="M423" s="8">
        <v>1633.1999999999998</v>
      </c>
      <c r="N423">
        <v>13</v>
      </c>
      <c r="O423" t="s">
        <v>131</v>
      </c>
      <c r="P423" t="s">
        <v>119</v>
      </c>
    </row>
    <row r="424" spans="1:16" x14ac:dyDescent="0.25">
      <c r="A424" s="10">
        <v>45974</v>
      </c>
      <c r="B424" s="1" t="s">
        <v>98</v>
      </c>
      <c r="C424" s="2">
        <v>11</v>
      </c>
      <c r="D424" s="1" t="s">
        <v>13</v>
      </c>
      <c r="E424" s="1" t="s">
        <v>13</v>
      </c>
      <c r="F424" s="3">
        <v>0</v>
      </c>
      <c r="G424" s="1" t="s">
        <v>99</v>
      </c>
      <c r="H424" s="1" t="s">
        <v>43</v>
      </c>
      <c r="I424" s="1" t="s">
        <v>21</v>
      </c>
      <c r="J424" s="7">
        <v>44</v>
      </c>
      <c r="K424" s="7">
        <v>49.66</v>
      </c>
      <c r="L424" s="8">
        <v>484</v>
      </c>
      <c r="M424" s="8">
        <v>546.26</v>
      </c>
      <c r="N424">
        <v>13</v>
      </c>
      <c r="O424" t="s">
        <v>131</v>
      </c>
      <c r="P424" t="s">
        <v>119</v>
      </c>
    </row>
    <row r="425" spans="1:16" x14ac:dyDescent="0.25">
      <c r="A425" s="10">
        <v>45975</v>
      </c>
      <c r="B425" s="1" t="s">
        <v>11</v>
      </c>
      <c r="C425" s="2">
        <v>3</v>
      </c>
      <c r="D425" s="1" t="s">
        <v>12</v>
      </c>
      <c r="E425" s="1" t="s">
        <v>23</v>
      </c>
      <c r="F425" s="3">
        <v>0.02</v>
      </c>
      <c r="G425" s="1" t="s">
        <v>14</v>
      </c>
      <c r="H425" s="1" t="s">
        <v>15</v>
      </c>
      <c r="I425" s="1" t="s">
        <v>16</v>
      </c>
      <c r="J425" s="7">
        <v>7</v>
      </c>
      <c r="K425" s="7">
        <v>7.54</v>
      </c>
      <c r="L425" s="8">
        <v>21</v>
      </c>
      <c r="M425" s="8">
        <v>22.62</v>
      </c>
      <c r="N425">
        <v>14</v>
      </c>
      <c r="O425" t="s">
        <v>131</v>
      </c>
      <c r="P425" t="s">
        <v>119</v>
      </c>
    </row>
    <row r="426" spans="1:16" x14ac:dyDescent="0.25">
      <c r="A426" s="10">
        <v>45976</v>
      </c>
      <c r="B426" s="1" t="s">
        <v>104</v>
      </c>
      <c r="C426" s="2">
        <v>11</v>
      </c>
      <c r="D426" s="1" t="s">
        <v>18</v>
      </c>
      <c r="E426" s="1" t="s">
        <v>23</v>
      </c>
      <c r="F426" s="3">
        <v>0</v>
      </c>
      <c r="G426" s="1" t="s">
        <v>105</v>
      </c>
      <c r="H426" s="1" t="s">
        <v>33</v>
      </c>
      <c r="I426" s="1" t="s">
        <v>26</v>
      </c>
      <c r="J426" s="7">
        <v>90</v>
      </c>
      <c r="K426" s="7">
        <v>103.12</v>
      </c>
      <c r="L426" s="8">
        <v>990</v>
      </c>
      <c r="M426" s="8">
        <v>1134.3200000000002</v>
      </c>
      <c r="N426">
        <v>15</v>
      </c>
      <c r="O426" t="s">
        <v>131</v>
      </c>
      <c r="P426" t="s">
        <v>119</v>
      </c>
    </row>
    <row r="427" spans="1:16" x14ac:dyDescent="0.25">
      <c r="A427" s="10">
        <v>45978</v>
      </c>
      <c r="B427" s="1" t="s">
        <v>92</v>
      </c>
      <c r="C427" s="2">
        <v>11</v>
      </c>
      <c r="D427" s="1" t="s">
        <v>12</v>
      </c>
      <c r="E427" s="1" t="s">
        <v>23</v>
      </c>
      <c r="F427" s="3">
        <v>0</v>
      </c>
      <c r="G427" s="1" t="s">
        <v>93</v>
      </c>
      <c r="H427" s="1" t="s">
        <v>33</v>
      </c>
      <c r="I427" s="1" t="s">
        <v>26</v>
      </c>
      <c r="J427" s="7">
        <v>72</v>
      </c>
      <c r="K427" s="7">
        <v>82.42</v>
      </c>
      <c r="L427" s="8">
        <v>792</v>
      </c>
      <c r="M427" s="8">
        <v>906.62</v>
      </c>
      <c r="N427">
        <v>17</v>
      </c>
      <c r="O427" t="s">
        <v>131</v>
      </c>
      <c r="P427" t="s">
        <v>119</v>
      </c>
    </row>
    <row r="428" spans="1:16" x14ac:dyDescent="0.25">
      <c r="A428" s="10">
        <v>45978</v>
      </c>
      <c r="B428" s="1" t="s">
        <v>90</v>
      </c>
      <c r="C428" s="2">
        <v>10</v>
      </c>
      <c r="D428" s="1" t="s">
        <v>18</v>
      </c>
      <c r="E428" s="1" t="s">
        <v>13</v>
      </c>
      <c r="F428" s="3">
        <v>0</v>
      </c>
      <c r="G428" s="1" t="s">
        <v>91</v>
      </c>
      <c r="H428" s="1" t="s">
        <v>20</v>
      </c>
      <c r="I428" s="1" t="s">
        <v>26</v>
      </c>
      <c r="J428" s="7">
        <v>89</v>
      </c>
      <c r="K428" s="7">
        <v>98.83</v>
      </c>
      <c r="L428" s="8">
        <v>890</v>
      </c>
      <c r="M428" s="8">
        <v>988.3</v>
      </c>
      <c r="N428">
        <v>17</v>
      </c>
      <c r="O428" t="s">
        <v>131</v>
      </c>
      <c r="P428" t="s">
        <v>119</v>
      </c>
    </row>
    <row r="429" spans="1:16" x14ac:dyDescent="0.25">
      <c r="A429" s="10">
        <v>45978</v>
      </c>
      <c r="B429" s="1" t="s">
        <v>56</v>
      </c>
      <c r="C429" s="2">
        <v>1</v>
      </c>
      <c r="D429" s="1" t="s">
        <v>13</v>
      </c>
      <c r="E429" s="1" t="s">
        <v>23</v>
      </c>
      <c r="F429" s="3">
        <v>0</v>
      </c>
      <c r="G429" s="1" t="s">
        <v>57</v>
      </c>
      <c r="H429" s="1" t="s">
        <v>20</v>
      </c>
      <c r="I429" s="1" t="s">
        <v>26</v>
      </c>
      <c r="J429" s="7">
        <v>79</v>
      </c>
      <c r="K429" s="7">
        <v>85.33</v>
      </c>
      <c r="L429" s="8">
        <v>79</v>
      </c>
      <c r="M429" s="8">
        <v>85.33</v>
      </c>
      <c r="N429">
        <v>17</v>
      </c>
      <c r="O429" t="s">
        <v>131</v>
      </c>
      <c r="P429" t="s">
        <v>119</v>
      </c>
    </row>
    <row r="430" spans="1:16" x14ac:dyDescent="0.25">
      <c r="A430" s="10">
        <v>45979</v>
      </c>
      <c r="B430" s="1" t="s">
        <v>70</v>
      </c>
      <c r="C430" s="2">
        <v>8</v>
      </c>
      <c r="D430" s="1" t="s">
        <v>18</v>
      </c>
      <c r="E430" s="1" t="s">
        <v>13</v>
      </c>
      <c r="F430" s="3">
        <v>0.02</v>
      </c>
      <c r="G430" s="1" t="s">
        <v>71</v>
      </c>
      <c r="H430" s="1" t="s">
        <v>43</v>
      </c>
      <c r="I430" s="1" t="s">
        <v>21</v>
      </c>
      <c r="J430" s="7">
        <v>52</v>
      </c>
      <c r="K430" s="7">
        <v>56.91</v>
      </c>
      <c r="L430" s="8">
        <v>416</v>
      </c>
      <c r="M430" s="8">
        <v>455.28</v>
      </c>
      <c r="N430">
        <v>18</v>
      </c>
      <c r="O430" t="s">
        <v>131</v>
      </c>
      <c r="P430" t="s">
        <v>119</v>
      </c>
    </row>
    <row r="431" spans="1:16" x14ac:dyDescent="0.25">
      <c r="A431" s="10">
        <v>45982</v>
      </c>
      <c r="B431" s="1" t="s">
        <v>46</v>
      </c>
      <c r="C431" s="2">
        <v>13</v>
      </c>
      <c r="D431" s="1" t="s">
        <v>12</v>
      </c>
      <c r="E431" s="1" t="s">
        <v>13</v>
      </c>
      <c r="F431" s="3">
        <v>0.1</v>
      </c>
      <c r="G431" s="1" t="s">
        <v>47</v>
      </c>
      <c r="H431" s="1" t="s">
        <v>15</v>
      </c>
      <c r="I431" s="1" t="s">
        <v>16</v>
      </c>
      <c r="J431" s="7">
        <v>8</v>
      </c>
      <c r="K431" s="7">
        <v>8.09</v>
      </c>
      <c r="L431" s="8">
        <v>104</v>
      </c>
      <c r="M431" s="8">
        <v>105.17</v>
      </c>
      <c r="N431">
        <v>21</v>
      </c>
      <c r="O431" t="s">
        <v>131</v>
      </c>
      <c r="P431" t="s">
        <v>119</v>
      </c>
    </row>
    <row r="432" spans="1:16" x14ac:dyDescent="0.25">
      <c r="A432" s="10">
        <v>45983</v>
      </c>
      <c r="B432" s="1" t="s">
        <v>11</v>
      </c>
      <c r="C432" s="2">
        <v>6</v>
      </c>
      <c r="D432" s="1" t="s">
        <v>13</v>
      </c>
      <c r="E432" s="1" t="s">
        <v>23</v>
      </c>
      <c r="F432" s="3">
        <v>0</v>
      </c>
      <c r="G432" s="1" t="s">
        <v>14</v>
      </c>
      <c r="H432" s="1" t="s">
        <v>15</v>
      </c>
      <c r="I432" s="1" t="s">
        <v>16</v>
      </c>
      <c r="J432" s="7">
        <v>7</v>
      </c>
      <c r="K432" s="7">
        <v>7.61</v>
      </c>
      <c r="L432" s="8">
        <v>42</v>
      </c>
      <c r="M432" s="8">
        <v>45.660000000000004</v>
      </c>
      <c r="N432">
        <v>22</v>
      </c>
      <c r="O432" t="s">
        <v>131</v>
      </c>
      <c r="P432" t="s">
        <v>119</v>
      </c>
    </row>
    <row r="433" spans="1:16" x14ac:dyDescent="0.25">
      <c r="A433" s="10">
        <v>45983</v>
      </c>
      <c r="B433" s="1" t="s">
        <v>41</v>
      </c>
      <c r="C433" s="2">
        <v>14</v>
      </c>
      <c r="D433" s="1" t="s">
        <v>18</v>
      </c>
      <c r="E433" s="1" t="s">
        <v>13</v>
      </c>
      <c r="F433" s="3">
        <v>0</v>
      </c>
      <c r="G433" s="1" t="s">
        <v>42</v>
      </c>
      <c r="H433" s="1" t="s">
        <v>43</v>
      </c>
      <c r="I433" s="1" t="s">
        <v>26</v>
      </c>
      <c r="J433" s="7">
        <v>75</v>
      </c>
      <c r="K433" s="7">
        <v>82.99</v>
      </c>
      <c r="L433" s="8">
        <v>1050</v>
      </c>
      <c r="M433" s="8">
        <v>1161.8599999999999</v>
      </c>
      <c r="N433">
        <v>22</v>
      </c>
      <c r="O433" t="s">
        <v>131</v>
      </c>
      <c r="P433" t="s">
        <v>119</v>
      </c>
    </row>
    <row r="434" spans="1:16" x14ac:dyDescent="0.25">
      <c r="A434" s="10">
        <v>45984</v>
      </c>
      <c r="B434" s="1" t="s">
        <v>48</v>
      </c>
      <c r="C434" s="2">
        <v>2</v>
      </c>
      <c r="D434" s="1" t="s">
        <v>18</v>
      </c>
      <c r="E434" s="1" t="s">
        <v>23</v>
      </c>
      <c r="F434" s="3">
        <v>0</v>
      </c>
      <c r="G434" s="1" t="s">
        <v>49</v>
      </c>
      <c r="H434" s="1" t="s">
        <v>15</v>
      </c>
      <c r="I434" s="1" t="s">
        <v>26</v>
      </c>
      <c r="J434" s="7">
        <v>67</v>
      </c>
      <c r="K434" s="7">
        <v>75.02</v>
      </c>
      <c r="L434" s="8">
        <v>134</v>
      </c>
      <c r="M434" s="8">
        <v>150.04</v>
      </c>
      <c r="N434">
        <v>23</v>
      </c>
      <c r="O434" t="s">
        <v>131</v>
      </c>
      <c r="P434" t="s">
        <v>119</v>
      </c>
    </row>
    <row r="435" spans="1:16" x14ac:dyDescent="0.25">
      <c r="A435" s="10">
        <v>45985</v>
      </c>
      <c r="B435" s="1" t="s">
        <v>64</v>
      </c>
      <c r="C435" s="2">
        <v>1</v>
      </c>
      <c r="D435" s="1" t="s">
        <v>18</v>
      </c>
      <c r="E435" s="1" t="s">
        <v>23</v>
      </c>
      <c r="F435" s="3">
        <v>0</v>
      </c>
      <c r="G435" s="1" t="s">
        <v>65</v>
      </c>
      <c r="H435" s="1" t="s">
        <v>25</v>
      </c>
      <c r="I435" s="1" t="s">
        <v>26</v>
      </c>
      <c r="J435" s="7">
        <v>60</v>
      </c>
      <c r="K435" s="7">
        <v>69.22</v>
      </c>
      <c r="L435" s="8">
        <v>60</v>
      </c>
      <c r="M435" s="8">
        <v>69.22</v>
      </c>
      <c r="N435">
        <v>24</v>
      </c>
      <c r="O435" t="s">
        <v>131</v>
      </c>
      <c r="P435" t="s">
        <v>119</v>
      </c>
    </row>
    <row r="436" spans="1:16" x14ac:dyDescent="0.25">
      <c r="A436" s="10">
        <v>45985</v>
      </c>
      <c r="B436" s="1" t="s">
        <v>31</v>
      </c>
      <c r="C436" s="2">
        <v>9</v>
      </c>
      <c r="D436" s="1" t="s">
        <v>13</v>
      </c>
      <c r="E436" s="1" t="s">
        <v>13</v>
      </c>
      <c r="F436" s="3">
        <v>0</v>
      </c>
      <c r="G436" s="1" t="s">
        <v>32</v>
      </c>
      <c r="H436" s="1" t="s">
        <v>33</v>
      </c>
      <c r="I436" s="1" t="s">
        <v>21</v>
      </c>
      <c r="J436" s="7">
        <v>63</v>
      </c>
      <c r="K436" s="7">
        <v>72.930000000000007</v>
      </c>
      <c r="L436" s="8">
        <v>567</v>
      </c>
      <c r="M436" s="8">
        <v>656.37000000000012</v>
      </c>
      <c r="N436">
        <v>24</v>
      </c>
      <c r="O436" t="s">
        <v>131</v>
      </c>
      <c r="P436" t="s">
        <v>119</v>
      </c>
    </row>
    <row r="437" spans="1:16" x14ac:dyDescent="0.25">
      <c r="A437" s="10">
        <v>45985</v>
      </c>
      <c r="B437" s="1" t="s">
        <v>112</v>
      </c>
      <c r="C437" s="2">
        <v>10</v>
      </c>
      <c r="D437" s="1" t="s">
        <v>13</v>
      </c>
      <c r="E437" s="1" t="s">
        <v>13</v>
      </c>
      <c r="F437" s="3">
        <v>0</v>
      </c>
      <c r="G437" s="1" t="s">
        <v>113</v>
      </c>
      <c r="H437" s="1" t="s">
        <v>20</v>
      </c>
      <c r="I437" s="1" t="s">
        <v>16</v>
      </c>
      <c r="J437" s="7">
        <v>9</v>
      </c>
      <c r="K437" s="7">
        <v>10.210000000000001</v>
      </c>
      <c r="L437" s="8">
        <v>90</v>
      </c>
      <c r="M437" s="8">
        <v>102.10000000000001</v>
      </c>
      <c r="N437">
        <v>24</v>
      </c>
      <c r="O437" t="s">
        <v>131</v>
      </c>
      <c r="P437" t="s">
        <v>119</v>
      </c>
    </row>
    <row r="438" spans="1:16" x14ac:dyDescent="0.25">
      <c r="A438" s="10">
        <v>45985</v>
      </c>
      <c r="B438" s="1" t="s">
        <v>108</v>
      </c>
      <c r="C438" s="2">
        <v>8</v>
      </c>
      <c r="D438" s="1" t="s">
        <v>12</v>
      </c>
      <c r="E438" s="1" t="s">
        <v>13</v>
      </c>
      <c r="F438" s="3">
        <v>0</v>
      </c>
      <c r="G438" s="1" t="s">
        <v>109</v>
      </c>
      <c r="H438" s="1" t="s">
        <v>43</v>
      </c>
      <c r="I438" s="1" t="s">
        <v>26</v>
      </c>
      <c r="J438" s="7">
        <v>65</v>
      </c>
      <c r="K438" s="7">
        <v>71.790000000000006</v>
      </c>
      <c r="L438" s="8">
        <v>520</v>
      </c>
      <c r="M438" s="8">
        <v>574.32000000000005</v>
      </c>
      <c r="N438">
        <v>24</v>
      </c>
      <c r="O438" t="s">
        <v>131</v>
      </c>
      <c r="P438" t="s">
        <v>119</v>
      </c>
    </row>
    <row r="439" spans="1:16" x14ac:dyDescent="0.25">
      <c r="A439" s="10">
        <v>45988</v>
      </c>
      <c r="B439" s="1" t="s">
        <v>54</v>
      </c>
      <c r="C439" s="2">
        <v>5</v>
      </c>
      <c r="D439" s="1" t="s">
        <v>18</v>
      </c>
      <c r="E439" s="1" t="s">
        <v>23</v>
      </c>
      <c r="F439" s="3">
        <v>0</v>
      </c>
      <c r="G439" s="1" t="s">
        <v>55</v>
      </c>
      <c r="H439" s="1" t="s">
        <v>43</v>
      </c>
      <c r="I439" s="1" t="s">
        <v>26</v>
      </c>
      <c r="J439" s="7">
        <v>71</v>
      </c>
      <c r="K439" s="7">
        <v>81.88</v>
      </c>
      <c r="L439" s="8">
        <v>355</v>
      </c>
      <c r="M439" s="8">
        <v>409.4</v>
      </c>
      <c r="N439">
        <v>27</v>
      </c>
      <c r="O439" t="s">
        <v>131</v>
      </c>
      <c r="P439" t="s">
        <v>119</v>
      </c>
    </row>
    <row r="440" spans="1:16" x14ac:dyDescent="0.25">
      <c r="A440" s="10">
        <v>45988</v>
      </c>
      <c r="B440" s="1" t="s">
        <v>76</v>
      </c>
      <c r="C440" s="2">
        <v>4</v>
      </c>
      <c r="D440" s="1" t="s">
        <v>13</v>
      </c>
      <c r="E440" s="1" t="s">
        <v>13</v>
      </c>
      <c r="F440" s="3">
        <v>0</v>
      </c>
      <c r="G440" s="1" t="s">
        <v>77</v>
      </c>
      <c r="H440" s="1" t="s">
        <v>25</v>
      </c>
      <c r="I440" s="1" t="s">
        <v>26</v>
      </c>
      <c r="J440" s="7">
        <v>105</v>
      </c>
      <c r="K440" s="7">
        <v>119.73</v>
      </c>
      <c r="L440" s="8">
        <v>420</v>
      </c>
      <c r="M440" s="8">
        <v>478.92</v>
      </c>
      <c r="N440">
        <v>27</v>
      </c>
      <c r="O440" t="s">
        <v>131</v>
      </c>
      <c r="P440" t="s">
        <v>119</v>
      </c>
    </row>
    <row r="441" spans="1:16" x14ac:dyDescent="0.25">
      <c r="A441" s="10">
        <v>45988</v>
      </c>
      <c r="B441" s="1" t="s">
        <v>102</v>
      </c>
      <c r="C441" s="2">
        <v>6</v>
      </c>
      <c r="D441" s="1" t="s">
        <v>13</v>
      </c>
      <c r="E441" s="1" t="s">
        <v>23</v>
      </c>
      <c r="F441" s="3">
        <v>0</v>
      </c>
      <c r="G441" s="1" t="s">
        <v>103</v>
      </c>
      <c r="H441" s="1" t="s">
        <v>15</v>
      </c>
      <c r="I441" s="1" t="s">
        <v>38</v>
      </c>
      <c r="J441" s="7">
        <v>144</v>
      </c>
      <c r="K441" s="7">
        <v>165.3</v>
      </c>
      <c r="L441" s="8">
        <v>864</v>
      </c>
      <c r="M441" s="8">
        <v>991.80000000000007</v>
      </c>
      <c r="N441">
        <v>27</v>
      </c>
      <c r="O441" t="s">
        <v>131</v>
      </c>
      <c r="P441" t="s">
        <v>119</v>
      </c>
    </row>
    <row r="442" spans="1:16" x14ac:dyDescent="0.25">
      <c r="A442" s="10">
        <v>45988</v>
      </c>
      <c r="B442" s="1" t="s">
        <v>17</v>
      </c>
      <c r="C442" s="2">
        <v>6</v>
      </c>
      <c r="D442" s="1" t="s">
        <v>12</v>
      </c>
      <c r="E442" s="1" t="s">
        <v>13</v>
      </c>
      <c r="F442" s="3">
        <v>0</v>
      </c>
      <c r="G442" s="1" t="s">
        <v>19</v>
      </c>
      <c r="H442" s="1" t="s">
        <v>20</v>
      </c>
      <c r="I442" s="1" t="s">
        <v>21</v>
      </c>
      <c r="J442" s="7">
        <v>48</v>
      </c>
      <c r="K442" s="7">
        <v>53.65</v>
      </c>
      <c r="L442" s="8">
        <v>288</v>
      </c>
      <c r="M442" s="8">
        <v>321.89999999999998</v>
      </c>
      <c r="N442">
        <v>27</v>
      </c>
      <c r="O442" t="s">
        <v>131</v>
      </c>
      <c r="P442" t="s">
        <v>119</v>
      </c>
    </row>
    <row r="443" spans="1:16" x14ac:dyDescent="0.25">
      <c r="A443" s="10">
        <v>45989</v>
      </c>
      <c r="B443" s="1" t="s">
        <v>110</v>
      </c>
      <c r="C443" s="2">
        <v>5</v>
      </c>
      <c r="D443" s="1" t="s">
        <v>13</v>
      </c>
      <c r="E443" s="1" t="s">
        <v>23</v>
      </c>
      <c r="F443" s="3">
        <v>0</v>
      </c>
      <c r="G443" s="1" t="s">
        <v>111</v>
      </c>
      <c r="H443" s="1" t="s">
        <v>25</v>
      </c>
      <c r="I443" s="1" t="s">
        <v>26</v>
      </c>
      <c r="J443" s="7">
        <v>112</v>
      </c>
      <c r="K443" s="7">
        <v>124.68</v>
      </c>
      <c r="L443" s="8">
        <v>560</v>
      </c>
      <c r="M443" s="8">
        <v>623.40000000000009</v>
      </c>
      <c r="N443">
        <v>28</v>
      </c>
      <c r="O443" t="s">
        <v>131</v>
      </c>
      <c r="P443" t="s">
        <v>119</v>
      </c>
    </row>
    <row r="444" spans="1:16" x14ac:dyDescent="0.25">
      <c r="A444" s="10">
        <v>45989</v>
      </c>
      <c r="B444" s="1" t="s">
        <v>41</v>
      </c>
      <c r="C444" s="2">
        <v>15</v>
      </c>
      <c r="D444" s="1" t="s">
        <v>13</v>
      </c>
      <c r="E444" s="1" t="s">
        <v>13</v>
      </c>
      <c r="F444" s="3">
        <v>0.02</v>
      </c>
      <c r="G444" s="1" t="s">
        <v>42</v>
      </c>
      <c r="H444" s="1" t="s">
        <v>43</v>
      </c>
      <c r="I444" s="1" t="s">
        <v>26</v>
      </c>
      <c r="J444" s="7">
        <v>75</v>
      </c>
      <c r="K444" s="7">
        <v>79.760000000000005</v>
      </c>
      <c r="L444" s="8">
        <v>1125</v>
      </c>
      <c r="M444" s="8">
        <v>1196.4000000000001</v>
      </c>
      <c r="N444">
        <v>28</v>
      </c>
      <c r="O444" t="s">
        <v>131</v>
      </c>
      <c r="P444" t="s">
        <v>119</v>
      </c>
    </row>
    <row r="445" spans="1:16" x14ac:dyDescent="0.25">
      <c r="A445" s="10">
        <v>45989</v>
      </c>
      <c r="B445" s="1" t="s">
        <v>104</v>
      </c>
      <c r="C445" s="2">
        <v>1</v>
      </c>
      <c r="D445" s="1" t="s">
        <v>18</v>
      </c>
      <c r="E445" s="1" t="s">
        <v>13</v>
      </c>
      <c r="F445" s="3">
        <v>0</v>
      </c>
      <c r="G445" s="1" t="s">
        <v>105</v>
      </c>
      <c r="H445" s="1" t="s">
        <v>33</v>
      </c>
      <c r="I445" s="1" t="s">
        <v>26</v>
      </c>
      <c r="J445" s="7">
        <v>90</v>
      </c>
      <c r="K445" s="7">
        <v>100.18</v>
      </c>
      <c r="L445" s="8">
        <v>90</v>
      </c>
      <c r="M445" s="8">
        <v>100.18</v>
      </c>
      <c r="N445">
        <v>28</v>
      </c>
      <c r="O445" t="s">
        <v>131</v>
      </c>
      <c r="P445" t="s">
        <v>119</v>
      </c>
    </row>
    <row r="446" spans="1:16" x14ac:dyDescent="0.25">
      <c r="A446" s="10">
        <v>45990</v>
      </c>
      <c r="B446" s="1" t="s">
        <v>41</v>
      </c>
      <c r="C446" s="2">
        <v>14</v>
      </c>
      <c r="D446" s="1" t="s">
        <v>13</v>
      </c>
      <c r="E446" s="1" t="s">
        <v>13</v>
      </c>
      <c r="F446" s="3">
        <v>0</v>
      </c>
      <c r="G446" s="1" t="s">
        <v>42</v>
      </c>
      <c r="H446" s="1" t="s">
        <v>43</v>
      </c>
      <c r="I446" s="1" t="s">
        <v>26</v>
      </c>
      <c r="J446" s="7">
        <v>75</v>
      </c>
      <c r="K446" s="7">
        <v>85.7</v>
      </c>
      <c r="L446" s="8">
        <v>1050</v>
      </c>
      <c r="M446" s="8">
        <v>1199.8</v>
      </c>
      <c r="N446">
        <v>29</v>
      </c>
      <c r="O446" t="s">
        <v>131</v>
      </c>
      <c r="P446" t="s">
        <v>119</v>
      </c>
    </row>
    <row r="447" spans="1:16" x14ac:dyDescent="0.25">
      <c r="A447" s="10">
        <v>45990</v>
      </c>
      <c r="B447" s="1" t="s">
        <v>46</v>
      </c>
      <c r="C447" s="2">
        <v>4</v>
      </c>
      <c r="D447" s="1" t="s">
        <v>12</v>
      </c>
      <c r="E447" s="1" t="s">
        <v>23</v>
      </c>
      <c r="F447" s="3">
        <v>0</v>
      </c>
      <c r="G447" s="1" t="s">
        <v>47</v>
      </c>
      <c r="H447" s="1" t="s">
        <v>15</v>
      </c>
      <c r="I447" s="1" t="s">
        <v>16</v>
      </c>
      <c r="J447" s="7">
        <v>8</v>
      </c>
      <c r="K447" s="7">
        <v>8.9499999999999993</v>
      </c>
      <c r="L447" s="8">
        <v>32</v>
      </c>
      <c r="M447" s="8">
        <v>35.799999999999997</v>
      </c>
      <c r="N447">
        <v>29</v>
      </c>
      <c r="O447" t="s">
        <v>131</v>
      </c>
      <c r="P447" t="s">
        <v>119</v>
      </c>
    </row>
    <row r="448" spans="1:16" x14ac:dyDescent="0.25">
      <c r="A448" s="10">
        <v>45991</v>
      </c>
      <c r="B448" s="1" t="s">
        <v>34</v>
      </c>
      <c r="C448" s="2">
        <v>14</v>
      </c>
      <c r="D448" s="1" t="s">
        <v>13</v>
      </c>
      <c r="E448" s="1" t="s">
        <v>23</v>
      </c>
      <c r="F448" s="3">
        <v>0</v>
      </c>
      <c r="G448" s="1" t="s">
        <v>35</v>
      </c>
      <c r="H448" s="1" t="s">
        <v>20</v>
      </c>
      <c r="I448" s="1" t="s">
        <v>16</v>
      </c>
      <c r="J448" s="7">
        <v>5</v>
      </c>
      <c r="K448" s="7">
        <v>5.82</v>
      </c>
      <c r="L448" s="8">
        <v>70</v>
      </c>
      <c r="M448" s="8">
        <v>81.48</v>
      </c>
      <c r="N448">
        <v>30</v>
      </c>
      <c r="O448" t="s">
        <v>131</v>
      </c>
      <c r="P448" t="s">
        <v>119</v>
      </c>
    </row>
    <row r="449" spans="1:16" x14ac:dyDescent="0.25">
      <c r="A449" s="10">
        <v>45991</v>
      </c>
      <c r="B449" s="1" t="s">
        <v>76</v>
      </c>
      <c r="C449" s="2">
        <v>8</v>
      </c>
      <c r="D449" s="1" t="s">
        <v>12</v>
      </c>
      <c r="E449" s="1" t="s">
        <v>23</v>
      </c>
      <c r="F449" s="3">
        <v>0</v>
      </c>
      <c r="G449" s="1" t="s">
        <v>77</v>
      </c>
      <c r="H449" s="1" t="s">
        <v>25</v>
      </c>
      <c r="I449" s="1" t="s">
        <v>26</v>
      </c>
      <c r="J449" s="7">
        <v>105</v>
      </c>
      <c r="K449" s="7">
        <v>122.53</v>
      </c>
      <c r="L449" s="8">
        <v>840</v>
      </c>
      <c r="M449" s="8">
        <v>980.24</v>
      </c>
      <c r="N449">
        <v>30</v>
      </c>
      <c r="O449" t="s">
        <v>131</v>
      </c>
      <c r="P449" t="s">
        <v>119</v>
      </c>
    </row>
    <row r="450" spans="1:16" x14ac:dyDescent="0.25">
      <c r="A450" s="10">
        <v>45991</v>
      </c>
      <c r="B450" s="1" t="s">
        <v>78</v>
      </c>
      <c r="C450" s="2">
        <v>3</v>
      </c>
      <c r="D450" s="1" t="s">
        <v>13</v>
      </c>
      <c r="E450" s="1" t="s">
        <v>23</v>
      </c>
      <c r="F450" s="3">
        <v>0</v>
      </c>
      <c r="G450" s="1" t="s">
        <v>79</v>
      </c>
      <c r="H450" s="1" t="s">
        <v>33</v>
      </c>
      <c r="I450" s="1" t="s">
        <v>21</v>
      </c>
      <c r="J450" s="7">
        <v>41</v>
      </c>
      <c r="K450" s="7">
        <v>45.01</v>
      </c>
      <c r="L450" s="8">
        <v>123</v>
      </c>
      <c r="M450" s="8">
        <v>135.03</v>
      </c>
      <c r="N450">
        <v>30</v>
      </c>
      <c r="O450" t="s">
        <v>131</v>
      </c>
      <c r="P450" t="s">
        <v>119</v>
      </c>
    </row>
    <row r="451" spans="1:16" x14ac:dyDescent="0.25">
      <c r="A451" s="10">
        <v>45992</v>
      </c>
      <c r="B451" s="1" t="s">
        <v>96</v>
      </c>
      <c r="C451" s="2">
        <v>1</v>
      </c>
      <c r="D451" s="1" t="s">
        <v>18</v>
      </c>
      <c r="E451" s="1" t="s">
        <v>13</v>
      </c>
      <c r="F451" s="3">
        <v>0</v>
      </c>
      <c r="G451" s="1" t="s">
        <v>97</v>
      </c>
      <c r="H451" s="1" t="s">
        <v>20</v>
      </c>
      <c r="I451" s="1" t="s">
        <v>21</v>
      </c>
      <c r="J451" s="7">
        <v>55</v>
      </c>
      <c r="K451" s="7">
        <v>59.97</v>
      </c>
      <c r="L451" s="8">
        <v>55</v>
      </c>
      <c r="M451" s="8">
        <v>59.97</v>
      </c>
      <c r="N451">
        <v>1</v>
      </c>
      <c r="O451" t="s">
        <v>132</v>
      </c>
      <c r="P451" t="s">
        <v>119</v>
      </c>
    </row>
    <row r="452" spans="1:16" x14ac:dyDescent="0.25">
      <c r="A452" s="10">
        <v>45992</v>
      </c>
      <c r="B452" s="1" t="s">
        <v>88</v>
      </c>
      <c r="C452" s="2">
        <v>8</v>
      </c>
      <c r="D452" s="1" t="s">
        <v>13</v>
      </c>
      <c r="E452" s="1" t="s">
        <v>23</v>
      </c>
      <c r="F452" s="3">
        <v>0</v>
      </c>
      <c r="G452" s="1" t="s">
        <v>89</v>
      </c>
      <c r="H452" s="1" t="s">
        <v>33</v>
      </c>
      <c r="I452" s="1" t="s">
        <v>26</v>
      </c>
      <c r="J452" s="7">
        <v>76</v>
      </c>
      <c r="K452" s="7">
        <v>85.36</v>
      </c>
      <c r="L452" s="8">
        <v>608</v>
      </c>
      <c r="M452" s="8">
        <v>682.88</v>
      </c>
      <c r="N452">
        <v>1</v>
      </c>
      <c r="O452" t="s">
        <v>132</v>
      </c>
      <c r="P452" t="s">
        <v>119</v>
      </c>
    </row>
    <row r="453" spans="1:16" x14ac:dyDescent="0.25">
      <c r="A453" s="10">
        <v>45993</v>
      </c>
      <c r="B453" s="1" t="s">
        <v>84</v>
      </c>
      <c r="C453" s="2">
        <v>15</v>
      </c>
      <c r="D453" s="1" t="s">
        <v>18</v>
      </c>
      <c r="E453" s="1" t="s">
        <v>23</v>
      </c>
      <c r="F453" s="3">
        <v>0</v>
      </c>
      <c r="G453" s="1" t="s">
        <v>85</v>
      </c>
      <c r="H453" s="1" t="s">
        <v>33</v>
      </c>
      <c r="I453" s="1" t="s">
        <v>38</v>
      </c>
      <c r="J453" s="7">
        <v>120</v>
      </c>
      <c r="K453" s="7">
        <v>140.26</v>
      </c>
      <c r="L453" s="8">
        <v>1800</v>
      </c>
      <c r="M453" s="8">
        <v>2103.8999999999996</v>
      </c>
      <c r="N453">
        <v>2</v>
      </c>
      <c r="O453" t="s">
        <v>132</v>
      </c>
      <c r="P453" t="s">
        <v>119</v>
      </c>
    </row>
    <row r="454" spans="1:16" x14ac:dyDescent="0.25">
      <c r="A454" s="10">
        <v>45993</v>
      </c>
      <c r="B454" s="1" t="s">
        <v>70</v>
      </c>
      <c r="C454" s="2">
        <v>3</v>
      </c>
      <c r="D454" s="1" t="s">
        <v>12</v>
      </c>
      <c r="E454" s="1" t="s">
        <v>13</v>
      </c>
      <c r="F454" s="3">
        <v>0</v>
      </c>
      <c r="G454" s="1" t="s">
        <v>71</v>
      </c>
      <c r="H454" s="1" t="s">
        <v>43</v>
      </c>
      <c r="I454" s="1" t="s">
        <v>21</v>
      </c>
      <c r="J454" s="7">
        <v>52</v>
      </c>
      <c r="K454" s="7">
        <v>59.17</v>
      </c>
      <c r="L454" s="8">
        <v>156</v>
      </c>
      <c r="M454" s="8">
        <v>177.51</v>
      </c>
      <c r="N454">
        <v>2</v>
      </c>
      <c r="O454" t="s">
        <v>132</v>
      </c>
      <c r="P454" t="s">
        <v>119</v>
      </c>
    </row>
    <row r="455" spans="1:16" x14ac:dyDescent="0.25">
      <c r="A455" s="10">
        <v>45994</v>
      </c>
      <c r="B455" s="1" t="s">
        <v>78</v>
      </c>
      <c r="C455" s="2">
        <v>14</v>
      </c>
      <c r="D455" s="1" t="s">
        <v>13</v>
      </c>
      <c r="E455" s="1" t="s">
        <v>23</v>
      </c>
      <c r="F455" s="3">
        <v>0</v>
      </c>
      <c r="G455" s="1" t="s">
        <v>79</v>
      </c>
      <c r="H455" s="1" t="s">
        <v>33</v>
      </c>
      <c r="I455" s="1" t="s">
        <v>21</v>
      </c>
      <c r="J455" s="7">
        <v>41</v>
      </c>
      <c r="K455" s="7">
        <v>44.86</v>
      </c>
      <c r="L455" s="8">
        <v>574</v>
      </c>
      <c r="M455" s="8">
        <v>628.04</v>
      </c>
      <c r="N455">
        <v>3</v>
      </c>
      <c r="O455" t="s">
        <v>132</v>
      </c>
      <c r="P455" t="s">
        <v>119</v>
      </c>
    </row>
    <row r="456" spans="1:16" x14ac:dyDescent="0.25">
      <c r="A456" s="10">
        <v>45995</v>
      </c>
      <c r="B456" s="1" t="s">
        <v>90</v>
      </c>
      <c r="C456" s="2">
        <v>14</v>
      </c>
      <c r="D456" s="1" t="s">
        <v>13</v>
      </c>
      <c r="E456" s="1" t="s">
        <v>13</v>
      </c>
      <c r="F456" s="3">
        <v>0</v>
      </c>
      <c r="G456" s="1" t="s">
        <v>91</v>
      </c>
      <c r="H456" s="1" t="s">
        <v>20</v>
      </c>
      <c r="I456" s="1" t="s">
        <v>26</v>
      </c>
      <c r="J456" s="7">
        <v>89</v>
      </c>
      <c r="K456" s="7">
        <v>101.03</v>
      </c>
      <c r="L456" s="8">
        <v>1246</v>
      </c>
      <c r="M456" s="8">
        <v>1414.42</v>
      </c>
      <c r="N456">
        <v>4</v>
      </c>
      <c r="O456" t="s">
        <v>132</v>
      </c>
      <c r="P456" t="s">
        <v>119</v>
      </c>
    </row>
    <row r="457" spans="1:16" x14ac:dyDescent="0.25">
      <c r="A457" s="10">
        <v>45995</v>
      </c>
      <c r="B457" s="1" t="s">
        <v>96</v>
      </c>
      <c r="C457" s="2">
        <v>5</v>
      </c>
      <c r="D457" s="1" t="s">
        <v>18</v>
      </c>
      <c r="E457" s="1" t="s">
        <v>23</v>
      </c>
      <c r="F457" s="3">
        <v>0.05</v>
      </c>
      <c r="G457" s="1" t="s">
        <v>97</v>
      </c>
      <c r="H457" s="1" t="s">
        <v>20</v>
      </c>
      <c r="I457" s="1" t="s">
        <v>21</v>
      </c>
      <c r="J457" s="7">
        <v>55</v>
      </c>
      <c r="K457" s="7">
        <v>60.86</v>
      </c>
      <c r="L457" s="8">
        <v>275</v>
      </c>
      <c r="M457" s="8">
        <v>304.3</v>
      </c>
      <c r="N457">
        <v>4</v>
      </c>
      <c r="O457" t="s">
        <v>132</v>
      </c>
      <c r="P457" t="s">
        <v>119</v>
      </c>
    </row>
    <row r="458" spans="1:16" x14ac:dyDescent="0.25">
      <c r="A458" s="10">
        <v>45996</v>
      </c>
      <c r="B458" s="1" t="s">
        <v>48</v>
      </c>
      <c r="C458" s="2">
        <v>5</v>
      </c>
      <c r="D458" s="1" t="s">
        <v>13</v>
      </c>
      <c r="E458" s="1" t="s">
        <v>13</v>
      </c>
      <c r="F458" s="3">
        <v>0</v>
      </c>
      <c r="G458" s="1" t="s">
        <v>49</v>
      </c>
      <c r="H458" s="1" t="s">
        <v>15</v>
      </c>
      <c r="I458" s="1" t="s">
        <v>26</v>
      </c>
      <c r="J458" s="7">
        <v>67</v>
      </c>
      <c r="K458" s="7">
        <v>75.33</v>
      </c>
      <c r="L458" s="8">
        <v>335</v>
      </c>
      <c r="M458" s="8">
        <v>376.65</v>
      </c>
      <c r="N458">
        <v>5</v>
      </c>
      <c r="O458" t="s">
        <v>132</v>
      </c>
      <c r="P458" t="s">
        <v>119</v>
      </c>
    </row>
    <row r="459" spans="1:16" x14ac:dyDescent="0.25">
      <c r="A459" s="10">
        <v>45996</v>
      </c>
      <c r="B459" s="1" t="s">
        <v>96</v>
      </c>
      <c r="C459" s="2">
        <v>4</v>
      </c>
      <c r="D459" s="1" t="s">
        <v>13</v>
      </c>
      <c r="E459" s="1" t="s">
        <v>13</v>
      </c>
      <c r="F459" s="3">
        <v>0.02</v>
      </c>
      <c r="G459" s="1" t="s">
        <v>97</v>
      </c>
      <c r="H459" s="1" t="s">
        <v>20</v>
      </c>
      <c r="I459" s="1" t="s">
        <v>21</v>
      </c>
      <c r="J459" s="7">
        <v>55</v>
      </c>
      <c r="K459" s="7">
        <v>61.58</v>
      </c>
      <c r="L459" s="8">
        <v>220</v>
      </c>
      <c r="M459" s="8">
        <v>246.32</v>
      </c>
      <c r="N459">
        <v>5</v>
      </c>
      <c r="O459" t="s">
        <v>132</v>
      </c>
      <c r="P459" t="s">
        <v>119</v>
      </c>
    </row>
    <row r="460" spans="1:16" x14ac:dyDescent="0.25">
      <c r="A460" s="10">
        <v>45997</v>
      </c>
      <c r="B460" s="1" t="s">
        <v>94</v>
      </c>
      <c r="C460" s="2">
        <v>10</v>
      </c>
      <c r="D460" s="1" t="s">
        <v>13</v>
      </c>
      <c r="E460" s="1" t="s">
        <v>13</v>
      </c>
      <c r="F460" s="3">
        <v>0</v>
      </c>
      <c r="G460" s="1" t="s">
        <v>95</v>
      </c>
      <c r="H460" s="1" t="s">
        <v>20</v>
      </c>
      <c r="I460" s="1" t="s">
        <v>26</v>
      </c>
      <c r="J460" s="7">
        <v>56</v>
      </c>
      <c r="K460" s="7">
        <v>65.94</v>
      </c>
      <c r="L460" s="8">
        <v>560</v>
      </c>
      <c r="M460" s="8">
        <v>659.4</v>
      </c>
      <c r="N460">
        <v>6</v>
      </c>
      <c r="O460" t="s">
        <v>132</v>
      </c>
      <c r="P460" t="s">
        <v>119</v>
      </c>
    </row>
    <row r="461" spans="1:16" x14ac:dyDescent="0.25">
      <c r="A461" s="10">
        <v>45998</v>
      </c>
      <c r="B461" s="1" t="s">
        <v>11</v>
      </c>
      <c r="C461" s="2">
        <v>11</v>
      </c>
      <c r="D461" s="1" t="s">
        <v>18</v>
      </c>
      <c r="E461" s="1" t="s">
        <v>23</v>
      </c>
      <c r="F461" s="3">
        <v>0</v>
      </c>
      <c r="G461" s="1" t="s">
        <v>14</v>
      </c>
      <c r="H461" s="1" t="s">
        <v>15</v>
      </c>
      <c r="I461" s="1" t="s">
        <v>16</v>
      </c>
      <c r="J461" s="7">
        <v>7</v>
      </c>
      <c r="K461" s="7">
        <v>7.77</v>
      </c>
      <c r="L461" s="8">
        <v>77</v>
      </c>
      <c r="M461" s="8">
        <v>85.47</v>
      </c>
      <c r="N461">
        <v>7</v>
      </c>
      <c r="O461" t="s">
        <v>132</v>
      </c>
      <c r="P461" t="s">
        <v>119</v>
      </c>
    </row>
    <row r="462" spans="1:16" x14ac:dyDescent="0.25">
      <c r="A462" s="10">
        <v>45999</v>
      </c>
      <c r="B462" s="1" t="s">
        <v>104</v>
      </c>
      <c r="C462" s="2">
        <v>15</v>
      </c>
      <c r="D462" s="1" t="s">
        <v>18</v>
      </c>
      <c r="E462" s="1" t="s">
        <v>13</v>
      </c>
      <c r="F462" s="3">
        <v>0.05</v>
      </c>
      <c r="G462" s="1" t="s">
        <v>105</v>
      </c>
      <c r="H462" s="1" t="s">
        <v>33</v>
      </c>
      <c r="I462" s="1" t="s">
        <v>26</v>
      </c>
      <c r="J462" s="7">
        <v>90</v>
      </c>
      <c r="K462" s="7">
        <v>92.44</v>
      </c>
      <c r="L462" s="8">
        <v>1350</v>
      </c>
      <c r="M462" s="8">
        <v>1386.6</v>
      </c>
      <c r="N462">
        <v>8</v>
      </c>
      <c r="O462" t="s">
        <v>132</v>
      </c>
      <c r="P462" t="s">
        <v>119</v>
      </c>
    </row>
    <row r="463" spans="1:16" x14ac:dyDescent="0.25">
      <c r="A463" s="10">
        <v>46001</v>
      </c>
      <c r="B463" s="1" t="s">
        <v>84</v>
      </c>
      <c r="C463" s="2">
        <v>6</v>
      </c>
      <c r="D463" s="1" t="s">
        <v>13</v>
      </c>
      <c r="E463" s="1" t="s">
        <v>13</v>
      </c>
      <c r="F463" s="3">
        <v>0</v>
      </c>
      <c r="G463" s="1" t="s">
        <v>85</v>
      </c>
      <c r="H463" s="1" t="s">
        <v>33</v>
      </c>
      <c r="I463" s="1" t="s">
        <v>38</v>
      </c>
      <c r="J463" s="7">
        <v>120</v>
      </c>
      <c r="K463" s="7">
        <v>132.30000000000001</v>
      </c>
      <c r="L463" s="8">
        <v>720</v>
      </c>
      <c r="M463" s="8">
        <v>793.80000000000007</v>
      </c>
      <c r="N463">
        <v>10</v>
      </c>
      <c r="O463" t="s">
        <v>132</v>
      </c>
      <c r="P463" t="s">
        <v>119</v>
      </c>
    </row>
    <row r="464" spans="1:16" x14ac:dyDescent="0.25">
      <c r="A464" s="10">
        <v>46001</v>
      </c>
      <c r="B464" s="1" t="s">
        <v>84</v>
      </c>
      <c r="C464" s="2">
        <v>5</v>
      </c>
      <c r="D464" s="1" t="s">
        <v>18</v>
      </c>
      <c r="E464" s="1" t="s">
        <v>23</v>
      </c>
      <c r="F464" s="3">
        <v>0.02</v>
      </c>
      <c r="G464" s="1" t="s">
        <v>85</v>
      </c>
      <c r="H464" s="1" t="s">
        <v>33</v>
      </c>
      <c r="I464" s="1" t="s">
        <v>38</v>
      </c>
      <c r="J464" s="7">
        <v>120</v>
      </c>
      <c r="K464" s="7">
        <v>127.87</v>
      </c>
      <c r="L464" s="8">
        <v>600</v>
      </c>
      <c r="M464" s="8">
        <v>639.35</v>
      </c>
      <c r="N464">
        <v>10</v>
      </c>
      <c r="O464" t="s">
        <v>132</v>
      </c>
      <c r="P464" t="s">
        <v>119</v>
      </c>
    </row>
    <row r="465" spans="1:16" x14ac:dyDescent="0.25">
      <c r="A465" s="10">
        <v>46001</v>
      </c>
      <c r="B465" s="1" t="s">
        <v>50</v>
      </c>
      <c r="C465" s="2">
        <v>4</v>
      </c>
      <c r="D465" s="1" t="s">
        <v>18</v>
      </c>
      <c r="E465" s="1" t="s">
        <v>13</v>
      </c>
      <c r="F465" s="3">
        <v>0</v>
      </c>
      <c r="G465" s="1" t="s">
        <v>51</v>
      </c>
      <c r="H465" s="1" t="s">
        <v>33</v>
      </c>
      <c r="I465" s="1" t="s">
        <v>26</v>
      </c>
      <c r="J465" s="7">
        <v>102</v>
      </c>
      <c r="K465" s="7">
        <v>119.43</v>
      </c>
      <c r="L465" s="8">
        <v>408</v>
      </c>
      <c r="M465" s="8">
        <v>477.72</v>
      </c>
      <c r="N465">
        <v>10</v>
      </c>
      <c r="O465" t="s">
        <v>132</v>
      </c>
      <c r="P465" t="s">
        <v>119</v>
      </c>
    </row>
    <row r="466" spans="1:16" x14ac:dyDescent="0.25">
      <c r="A466" s="10">
        <v>46002</v>
      </c>
      <c r="B466" s="1" t="s">
        <v>84</v>
      </c>
      <c r="C466" s="2">
        <v>11</v>
      </c>
      <c r="D466" s="1" t="s">
        <v>13</v>
      </c>
      <c r="E466" s="1" t="s">
        <v>13</v>
      </c>
      <c r="F466" s="3">
        <v>0</v>
      </c>
      <c r="G466" s="1" t="s">
        <v>85</v>
      </c>
      <c r="H466" s="1" t="s">
        <v>33</v>
      </c>
      <c r="I466" s="1" t="s">
        <v>38</v>
      </c>
      <c r="J466" s="7">
        <v>120</v>
      </c>
      <c r="K466" s="7">
        <v>139.21</v>
      </c>
      <c r="L466" s="8">
        <v>1320</v>
      </c>
      <c r="M466" s="8">
        <v>1531.3100000000002</v>
      </c>
      <c r="N466">
        <v>11</v>
      </c>
      <c r="O466" t="s">
        <v>132</v>
      </c>
      <c r="P466" t="s">
        <v>119</v>
      </c>
    </row>
    <row r="467" spans="1:16" x14ac:dyDescent="0.25">
      <c r="A467" s="10">
        <v>46002</v>
      </c>
      <c r="B467" s="1" t="s">
        <v>66</v>
      </c>
      <c r="C467" s="2">
        <v>12</v>
      </c>
      <c r="D467" s="1" t="s">
        <v>13</v>
      </c>
      <c r="E467" s="1" t="s">
        <v>13</v>
      </c>
      <c r="F467" s="3">
        <v>0</v>
      </c>
      <c r="G467" s="1" t="s">
        <v>67</v>
      </c>
      <c r="H467" s="1" t="s">
        <v>15</v>
      </c>
      <c r="I467" s="1" t="s">
        <v>21</v>
      </c>
      <c r="J467" s="7">
        <v>61</v>
      </c>
      <c r="K467" s="7">
        <v>70.430000000000007</v>
      </c>
      <c r="L467" s="8">
        <v>732</v>
      </c>
      <c r="M467" s="8">
        <v>845.16000000000008</v>
      </c>
      <c r="N467">
        <v>11</v>
      </c>
      <c r="O467" t="s">
        <v>132</v>
      </c>
      <c r="P467" t="s">
        <v>119</v>
      </c>
    </row>
    <row r="468" spans="1:16" x14ac:dyDescent="0.25">
      <c r="A468" s="10">
        <v>46004</v>
      </c>
      <c r="B468" s="1" t="s">
        <v>34</v>
      </c>
      <c r="C468" s="2">
        <v>2</v>
      </c>
      <c r="D468" s="1" t="s">
        <v>18</v>
      </c>
      <c r="E468" s="1" t="s">
        <v>23</v>
      </c>
      <c r="F468" s="3">
        <v>0.02</v>
      </c>
      <c r="G468" s="1" t="s">
        <v>35</v>
      </c>
      <c r="H468" s="1" t="s">
        <v>20</v>
      </c>
      <c r="I468" s="1" t="s">
        <v>16</v>
      </c>
      <c r="J468" s="7">
        <v>5</v>
      </c>
      <c r="K468" s="7">
        <v>5.41</v>
      </c>
      <c r="L468" s="8">
        <v>10</v>
      </c>
      <c r="M468" s="8">
        <v>10.82</v>
      </c>
      <c r="N468">
        <v>13</v>
      </c>
      <c r="O468" t="s">
        <v>132</v>
      </c>
      <c r="P468" t="s">
        <v>119</v>
      </c>
    </row>
    <row r="469" spans="1:16" x14ac:dyDescent="0.25">
      <c r="A469" s="10">
        <v>46004</v>
      </c>
      <c r="B469" s="1" t="s">
        <v>88</v>
      </c>
      <c r="C469" s="2">
        <v>7</v>
      </c>
      <c r="D469" s="1" t="s">
        <v>12</v>
      </c>
      <c r="E469" s="1" t="s">
        <v>13</v>
      </c>
      <c r="F469" s="3">
        <v>0.1</v>
      </c>
      <c r="G469" s="1" t="s">
        <v>89</v>
      </c>
      <c r="H469" s="1" t="s">
        <v>33</v>
      </c>
      <c r="I469" s="1" t="s">
        <v>26</v>
      </c>
      <c r="J469" s="7">
        <v>76</v>
      </c>
      <c r="K469" s="7">
        <v>73.97</v>
      </c>
      <c r="L469" s="8">
        <v>532</v>
      </c>
      <c r="M469" s="8">
        <v>517.79</v>
      </c>
      <c r="N469">
        <v>13</v>
      </c>
      <c r="O469" t="s">
        <v>132</v>
      </c>
      <c r="P469" t="s">
        <v>119</v>
      </c>
    </row>
    <row r="470" spans="1:16" x14ac:dyDescent="0.25">
      <c r="A470" s="10">
        <v>46004</v>
      </c>
      <c r="B470" s="1" t="s">
        <v>27</v>
      </c>
      <c r="C470" s="2">
        <v>15</v>
      </c>
      <c r="D470" s="1" t="s">
        <v>12</v>
      </c>
      <c r="E470" s="1" t="s">
        <v>23</v>
      </c>
      <c r="F470" s="3">
        <v>0</v>
      </c>
      <c r="G470" s="1" t="s">
        <v>28</v>
      </c>
      <c r="H470" s="1" t="s">
        <v>25</v>
      </c>
      <c r="I470" s="1" t="s">
        <v>26</v>
      </c>
      <c r="J470" s="7">
        <v>47</v>
      </c>
      <c r="K470" s="7">
        <v>52.32</v>
      </c>
      <c r="L470" s="8">
        <v>705</v>
      </c>
      <c r="M470" s="8">
        <v>784.8</v>
      </c>
      <c r="N470">
        <v>13</v>
      </c>
      <c r="O470" t="s">
        <v>132</v>
      </c>
      <c r="P470" t="s">
        <v>119</v>
      </c>
    </row>
    <row r="471" spans="1:16" x14ac:dyDescent="0.25">
      <c r="A471" s="10">
        <v>46005</v>
      </c>
      <c r="B471" s="1" t="s">
        <v>88</v>
      </c>
      <c r="C471" s="2">
        <v>10</v>
      </c>
      <c r="D471" s="1" t="s">
        <v>18</v>
      </c>
      <c r="E471" s="1" t="s">
        <v>13</v>
      </c>
      <c r="F471" s="3">
        <v>0.05</v>
      </c>
      <c r="G471" s="1" t="s">
        <v>89</v>
      </c>
      <c r="H471" s="1" t="s">
        <v>33</v>
      </c>
      <c r="I471" s="1" t="s">
        <v>26</v>
      </c>
      <c r="J471" s="7">
        <v>76</v>
      </c>
      <c r="K471" s="7">
        <v>85.08</v>
      </c>
      <c r="L471" s="8">
        <v>760</v>
      </c>
      <c r="M471" s="8">
        <v>850.8</v>
      </c>
      <c r="N471">
        <v>14</v>
      </c>
      <c r="O471" t="s">
        <v>132</v>
      </c>
      <c r="P471" t="s">
        <v>119</v>
      </c>
    </row>
    <row r="472" spans="1:16" x14ac:dyDescent="0.25">
      <c r="A472" s="10">
        <v>46005</v>
      </c>
      <c r="B472" s="1" t="s">
        <v>72</v>
      </c>
      <c r="C472" s="2">
        <v>8</v>
      </c>
      <c r="D472" s="1" t="s">
        <v>18</v>
      </c>
      <c r="E472" s="1" t="s">
        <v>13</v>
      </c>
      <c r="F472" s="3">
        <v>0</v>
      </c>
      <c r="G472" s="1" t="s">
        <v>73</v>
      </c>
      <c r="H472" s="1" t="s">
        <v>33</v>
      </c>
      <c r="I472" s="1" t="s">
        <v>26</v>
      </c>
      <c r="J472" s="7">
        <v>67</v>
      </c>
      <c r="K472" s="7">
        <v>75.73</v>
      </c>
      <c r="L472" s="8">
        <v>536</v>
      </c>
      <c r="M472" s="8">
        <v>605.84</v>
      </c>
      <c r="N472">
        <v>14</v>
      </c>
      <c r="O472" t="s">
        <v>132</v>
      </c>
      <c r="P472" t="s">
        <v>119</v>
      </c>
    </row>
    <row r="473" spans="1:16" x14ac:dyDescent="0.25">
      <c r="A473" s="10">
        <v>46006</v>
      </c>
      <c r="B473" s="1" t="s">
        <v>72</v>
      </c>
      <c r="C473" s="2">
        <v>11</v>
      </c>
      <c r="D473" s="1" t="s">
        <v>18</v>
      </c>
      <c r="E473" s="1" t="s">
        <v>13</v>
      </c>
      <c r="F473" s="3">
        <v>0</v>
      </c>
      <c r="G473" s="1" t="s">
        <v>73</v>
      </c>
      <c r="H473" s="1" t="s">
        <v>33</v>
      </c>
      <c r="I473" s="1" t="s">
        <v>26</v>
      </c>
      <c r="J473" s="7">
        <v>67</v>
      </c>
      <c r="K473" s="7">
        <v>76.56</v>
      </c>
      <c r="L473" s="8">
        <v>737</v>
      </c>
      <c r="M473" s="8">
        <v>842.16000000000008</v>
      </c>
      <c r="N473">
        <v>15</v>
      </c>
      <c r="O473" t="s">
        <v>132</v>
      </c>
      <c r="P473" t="s">
        <v>119</v>
      </c>
    </row>
    <row r="474" spans="1:16" x14ac:dyDescent="0.25">
      <c r="A474" s="10">
        <v>46006</v>
      </c>
      <c r="B474" s="1" t="s">
        <v>22</v>
      </c>
      <c r="C474" s="2">
        <v>12</v>
      </c>
      <c r="D474" s="1" t="s">
        <v>18</v>
      </c>
      <c r="E474" s="1" t="s">
        <v>23</v>
      </c>
      <c r="F474" s="3">
        <v>0</v>
      </c>
      <c r="G474" s="1" t="s">
        <v>24</v>
      </c>
      <c r="H474" s="1" t="s">
        <v>25</v>
      </c>
      <c r="I474" s="1" t="s">
        <v>26</v>
      </c>
      <c r="J474" s="7">
        <v>112</v>
      </c>
      <c r="K474" s="7">
        <v>125.95</v>
      </c>
      <c r="L474" s="8">
        <v>1344</v>
      </c>
      <c r="M474" s="8">
        <v>1511.4</v>
      </c>
      <c r="N474">
        <v>15</v>
      </c>
      <c r="O474" t="s">
        <v>132</v>
      </c>
      <c r="P474" t="s">
        <v>119</v>
      </c>
    </row>
    <row r="475" spans="1:16" x14ac:dyDescent="0.25">
      <c r="A475" s="10">
        <v>46006</v>
      </c>
      <c r="B475" s="1" t="s">
        <v>92</v>
      </c>
      <c r="C475" s="2">
        <v>11</v>
      </c>
      <c r="D475" s="1" t="s">
        <v>13</v>
      </c>
      <c r="E475" s="1" t="s">
        <v>13</v>
      </c>
      <c r="F475" s="3">
        <v>0</v>
      </c>
      <c r="G475" s="1" t="s">
        <v>93</v>
      </c>
      <c r="H475" s="1" t="s">
        <v>33</v>
      </c>
      <c r="I475" s="1" t="s">
        <v>26</v>
      </c>
      <c r="J475" s="7">
        <v>72</v>
      </c>
      <c r="K475" s="7">
        <v>82.89</v>
      </c>
      <c r="L475" s="8">
        <v>792</v>
      </c>
      <c r="M475" s="8">
        <v>911.79</v>
      </c>
      <c r="N475">
        <v>15</v>
      </c>
      <c r="O475" t="s">
        <v>132</v>
      </c>
      <c r="P475" t="s">
        <v>119</v>
      </c>
    </row>
    <row r="476" spans="1:16" x14ac:dyDescent="0.25">
      <c r="A476" s="10">
        <v>46007</v>
      </c>
      <c r="B476" s="1" t="s">
        <v>52</v>
      </c>
      <c r="C476" s="2">
        <v>13</v>
      </c>
      <c r="D476" s="1" t="s">
        <v>18</v>
      </c>
      <c r="E476" s="1" t="s">
        <v>23</v>
      </c>
      <c r="F476" s="3">
        <v>0.02</v>
      </c>
      <c r="G476" s="1" t="s">
        <v>53</v>
      </c>
      <c r="H476" s="1" t="s">
        <v>25</v>
      </c>
      <c r="I476" s="1" t="s">
        <v>21</v>
      </c>
      <c r="J476" s="7">
        <v>58</v>
      </c>
      <c r="K476" s="7">
        <v>61.47</v>
      </c>
      <c r="L476" s="8">
        <v>754</v>
      </c>
      <c r="M476" s="8">
        <v>799.11</v>
      </c>
      <c r="N476">
        <v>16</v>
      </c>
      <c r="O476" t="s">
        <v>132</v>
      </c>
      <c r="P476" t="s">
        <v>119</v>
      </c>
    </row>
    <row r="477" spans="1:16" x14ac:dyDescent="0.25">
      <c r="A477" s="10">
        <v>46008</v>
      </c>
      <c r="B477" s="1" t="s">
        <v>78</v>
      </c>
      <c r="C477" s="2">
        <v>13</v>
      </c>
      <c r="D477" s="1" t="s">
        <v>13</v>
      </c>
      <c r="E477" s="1" t="s">
        <v>23</v>
      </c>
      <c r="F477" s="3">
        <v>0</v>
      </c>
      <c r="G477" s="1" t="s">
        <v>79</v>
      </c>
      <c r="H477" s="1" t="s">
        <v>33</v>
      </c>
      <c r="I477" s="1" t="s">
        <v>21</v>
      </c>
      <c r="J477" s="7">
        <v>41</v>
      </c>
      <c r="K477" s="7">
        <v>46.04</v>
      </c>
      <c r="L477" s="8">
        <v>533</v>
      </c>
      <c r="M477" s="8">
        <v>598.52</v>
      </c>
      <c r="N477">
        <v>17</v>
      </c>
      <c r="O477" t="s">
        <v>132</v>
      </c>
      <c r="P477" t="s">
        <v>119</v>
      </c>
    </row>
    <row r="478" spans="1:16" x14ac:dyDescent="0.25">
      <c r="A478" s="10">
        <v>46008</v>
      </c>
      <c r="B478" s="1" t="s">
        <v>96</v>
      </c>
      <c r="C478" s="2">
        <v>2</v>
      </c>
      <c r="D478" s="1" t="s">
        <v>18</v>
      </c>
      <c r="E478" s="1" t="s">
        <v>13</v>
      </c>
      <c r="F478" s="3">
        <v>0</v>
      </c>
      <c r="G478" s="1" t="s">
        <v>97</v>
      </c>
      <c r="H478" s="1" t="s">
        <v>20</v>
      </c>
      <c r="I478" s="1" t="s">
        <v>21</v>
      </c>
      <c r="J478" s="7">
        <v>55</v>
      </c>
      <c r="K478" s="7">
        <v>59.5</v>
      </c>
      <c r="L478" s="8">
        <v>110</v>
      </c>
      <c r="M478" s="8">
        <v>119</v>
      </c>
      <c r="N478">
        <v>17</v>
      </c>
      <c r="O478" t="s">
        <v>132</v>
      </c>
      <c r="P478" t="s">
        <v>119</v>
      </c>
    </row>
    <row r="479" spans="1:16" x14ac:dyDescent="0.25">
      <c r="A479" s="10">
        <v>46008</v>
      </c>
      <c r="B479" s="1" t="s">
        <v>94</v>
      </c>
      <c r="C479" s="2">
        <v>5</v>
      </c>
      <c r="D479" s="1" t="s">
        <v>18</v>
      </c>
      <c r="E479" s="1" t="s">
        <v>23</v>
      </c>
      <c r="F479" s="3">
        <v>0</v>
      </c>
      <c r="G479" s="1" t="s">
        <v>95</v>
      </c>
      <c r="H479" s="1" t="s">
        <v>20</v>
      </c>
      <c r="I479" s="1" t="s">
        <v>26</v>
      </c>
      <c r="J479" s="7">
        <v>56</v>
      </c>
      <c r="K479" s="7">
        <v>62.81</v>
      </c>
      <c r="L479" s="8">
        <v>280</v>
      </c>
      <c r="M479" s="8">
        <v>314.05</v>
      </c>
      <c r="N479">
        <v>17</v>
      </c>
      <c r="O479" t="s">
        <v>132</v>
      </c>
      <c r="P479" t="s">
        <v>119</v>
      </c>
    </row>
    <row r="480" spans="1:16" x14ac:dyDescent="0.25">
      <c r="A480" s="10">
        <v>46010</v>
      </c>
      <c r="B480" s="1" t="s">
        <v>41</v>
      </c>
      <c r="C480" s="2">
        <v>9</v>
      </c>
      <c r="D480" s="1" t="s">
        <v>18</v>
      </c>
      <c r="E480" s="1" t="s">
        <v>13</v>
      </c>
      <c r="F480" s="3">
        <v>0.05</v>
      </c>
      <c r="G480" s="1" t="s">
        <v>42</v>
      </c>
      <c r="H480" s="1" t="s">
        <v>43</v>
      </c>
      <c r="I480" s="1" t="s">
        <v>26</v>
      </c>
      <c r="J480" s="7">
        <v>75</v>
      </c>
      <c r="K480" s="7">
        <v>78.599999999999994</v>
      </c>
      <c r="L480" s="8">
        <v>675</v>
      </c>
      <c r="M480" s="8">
        <v>707.4</v>
      </c>
      <c r="N480">
        <v>19</v>
      </c>
      <c r="O480" t="s">
        <v>132</v>
      </c>
      <c r="P480" t="s">
        <v>119</v>
      </c>
    </row>
    <row r="481" spans="1:16" x14ac:dyDescent="0.25">
      <c r="A481" s="10">
        <v>46011</v>
      </c>
      <c r="B481" s="1" t="s">
        <v>76</v>
      </c>
      <c r="C481" s="2">
        <v>9</v>
      </c>
      <c r="D481" s="1" t="s">
        <v>13</v>
      </c>
      <c r="E481" s="1" t="s">
        <v>13</v>
      </c>
      <c r="F481" s="3">
        <v>0</v>
      </c>
      <c r="G481" s="1" t="s">
        <v>77</v>
      </c>
      <c r="H481" s="1" t="s">
        <v>25</v>
      </c>
      <c r="I481" s="1" t="s">
        <v>26</v>
      </c>
      <c r="J481" s="7">
        <v>105</v>
      </c>
      <c r="K481" s="7">
        <v>114.95</v>
      </c>
      <c r="L481" s="8">
        <v>945</v>
      </c>
      <c r="M481" s="8">
        <v>1034.55</v>
      </c>
      <c r="N481">
        <v>20</v>
      </c>
      <c r="O481" t="s">
        <v>132</v>
      </c>
      <c r="P481" t="s">
        <v>119</v>
      </c>
    </row>
    <row r="482" spans="1:16" x14ac:dyDescent="0.25">
      <c r="A482" s="10">
        <v>46011</v>
      </c>
      <c r="B482" s="1" t="s">
        <v>52</v>
      </c>
      <c r="C482" s="2">
        <v>4</v>
      </c>
      <c r="D482" s="1" t="s">
        <v>13</v>
      </c>
      <c r="E482" s="1" t="s">
        <v>13</v>
      </c>
      <c r="F482" s="3">
        <v>0</v>
      </c>
      <c r="G482" s="1" t="s">
        <v>53</v>
      </c>
      <c r="H482" s="1" t="s">
        <v>25</v>
      </c>
      <c r="I482" s="1" t="s">
        <v>21</v>
      </c>
      <c r="J482" s="7">
        <v>58</v>
      </c>
      <c r="K482" s="7">
        <v>66.06</v>
      </c>
      <c r="L482" s="8">
        <v>232</v>
      </c>
      <c r="M482" s="8">
        <v>264.24</v>
      </c>
      <c r="N482">
        <v>20</v>
      </c>
      <c r="O482" t="s">
        <v>132</v>
      </c>
      <c r="P482" t="s">
        <v>119</v>
      </c>
    </row>
    <row r="483" spans="1:16" x14ac:dyDescent="0.25">
      <c r="A483" s="10">
        <v>46011</v>
      </c>
      <c r="B483" s="1" t="s">
        <v>90</v>
      </c>
      <c r="C483" s="2">
        <v>6</v>
      </c>
      <c r="D483" s="1" t="s">
        <v>18</v>
      </c>
      <c r="E483" s="1" t="s">
        <v>13</v>
      </c>
      <c r="F483" s="3">
        <v>0</v>
      </c>
      <c r="G483" s="1" t="s">
        <v>91</v>
      </c>
      <c r="H483" s="1" t="s">
        <v>20</v>
      </c>
      <c r="I483" s="1" t="s">
        <v>26</v>
      </c>
      <c r="J483" s="7">
        <v>89</v>
      </c>
      <c r="K483" s="7">
        <v>101.22</v>
      </c>
      <c r="L483" s="8">
        <v>534</v>
      </c>
      <c r="M483" s="8">
        <v>607.31999999999994</v>
      </c>
      <c r="N483">
        <v>20</v>
      </c>
      <c r="O483" t="s">
        <v>132</v>
      </c>
      <c r="P483" t="s">
        <v>119</v>
      </c>
    </row>
    <row r="484" spans="1:16" x14ac:dyDescent="0.25">
      <c r="A484" s="10">
        <v>46012</v>
      </c>
      <c r="B484" s="1" t="s">
        <v>17</v>
      </c>
      <c r="C484" s="2">
        <v>9</v>
      </c>
      <c r="D484" s="1" t="s">
        <v>13</v>
      </c>
      <c r="E484" s="1" t="s">
        <v>13</v>
      </c>
      <c r="F484" s="3">
        <v>0</v>
      </c>
      <c r="G484" s="1" t="s">
        <v>19</v>
      </c>
      <c r="H484" s="1" t="s">
        <v>20</v>
      </c>
      <c r="I484" s="1" t="s">
        <v>21</v>
      </c>
      <c r="J484" s="7">
        <v>48</v>
      </c>
      <c r="K484" s="7">
        <v>55.74</v>
      </c>
      <c r="L484" s="8">
        <v>432</v>
      </c>
      <c r="M484" s="8">
        <v>501.66</v>
      </c>
      <c r="N484">
        <v>21</v>
      </c>
      <c r="O484" t="s">
        <v>132</v>
      </c>
      <c r="P484" t="s">
        <v>119</v>
      </c>
    </row>
    <row r="485" spans="1:16" x14ac:dyDescent="0.25">
      <c r="A485" s="10">
        <v>46013</v>
      </c>
      <c r="B485" s="1" t="s">
        <v>46</v>
      </c>
      <c r="C485" s="2">
        <v>1</v>
      </c>
      <c r="D485" s="1" t="s">
        <v>13</v>
      </c>
      <c r="E485" s="1" t="s">
        <v>13</v>
      </c>
      <c r="F485" s="3">
        <v>0</v>
      </c>
      <c r="G485" s="1" t="s">
        <v>47</v>
      </c>
      <c r="H485" s="1" t="s">
        <v>15</v>
      </c>
      <c r="I485" s="1" t="s">
        <v>16</v>
      </c>
      <c r="J485" s="7">
        <v>8</v>
      </c>
      <c r="K485" s="7">
        <v>8.92</v>
      </c>
      <c r="L485" s="8">
        <v>8</v>
      </c>
      <c r="M485" s="8">
        <v>8.92</v>
      </c>
      <c r="N485">
        <v>22</v>
      </c>
      <c r="O485" t="s">
        <v>132</v>
      </c>
      <c r="P485" t="s">
        <v>119</v>
      </c>
    </row>
    <row r="486" spans="1:16" x14ac:dyDescent="0.25">
      <c r="A486" s="10">
        <v>46013</v>
      </c>
      <c r="B486" s="1" t="s">
        <v>90</v>
      </c>
      <c r="C486" s="2">
        <v>4</v>
      </c>
      <c r="D486" s="1" t="s">
        <v>13</v>
      </c>
      <c r="E486" s="1" t="s">
        <v>23</v>
      </c>
      <c r="F486" s="3">
        <v>0</v>
      </c>
      <c r="G486" s="1" t="s">
        <v>91</v>
      </c>
      <c r="H486" s="1" t="s">
        <v>20</v>
      </c>
      <c r="I486" s="1" t="s">
        <v>26</v>
      </c>
      <c r="J486" s="7">
        <v>89</v>
      </c>
      <c r="K486" s="7">
        <v>104.12</v>
      </c>
      <c r="L486" s="8">
        <v>356</v>
      </c>
      <c r="M486" s="8">
        <v>416.48</v>
      </c>
      <c r="N486">
        <v>22</v>
      </c>
      <c r="O486" t="s">
        <v>132</v>
      </c>
      <c r="P486" t="s">
        <v>119</v>
      </c>
    </row>
    <row r="487" spans="1:16" x14ac:dyDescent="0.25">
      <c r="A487" s="10">
        <v>46013</v>
      </c>
      <c r="B487" s="1" t="s">
        <v>58</v>
      </c>
      <c r="C487" s="2">
        <v>6</v>
      </c>
      <c r="D487" s="1" t="s">
        <v>13</v>
      </c>
      <c r="E487" s="1" t="s">
        <v>13</v>
      </c>
      <c r="F487" s="3">
        <v>0</v>
      </c>
      <c r="G487" s="1" t="s">
        <v>59</v>
      </c>
      <c r="H487" s="1" t="s">
        <v>43</v>
      </c>
      <c r="I487" s="1" t="s">
        <v>26</v>
      </c>
      <c r="J487" s="7">
        <v>98</v>
      </c>
      <c r="K487" s="7">
        <v>112.97</v>
      </c>
      <c r="L487" s="8">
        <v>588</v>
      </c>
      <c r="M487" s="8">
        <v>677.81999999999994</v>
      </c>
      <c r="N487">
        <v>22</v>
      </c>
      <c r="O487" t="s">
        <v>132</v>
      </c>
      <c r="P487" t="s">
        <v>119</v>
      </c>
    </row>
    <row r="488" spans="1:16" x14ac:dyDescent="0.25">
      <c r="A488" s="10">
        <v>46014</v>
      </c>
      <c r="B488" s="1" t="s">
        <v>96</v>
      </c>
      <c r="C488" s="2">
        <v>8</v>
      </c>
      <c r="D488" s="1" t="s">
        <v>13</v>
      </c>
      <c r="E488" s="1" t="s">
        <v>23</v>
      </c>
      <c r="F488" s="3">
        <v>0</v>
      </c>
      <c r="G488" s="1" t="s">
        <v>97</v>
      </c>
      <c r="H488" s="1" t="s">
        <v>20</v>
      </c>
      <c r="I488" s="1" t="s">
        <v>21</v>
      </c>
      <c r="J488" s="7">
        <v>55</v>
      </c>
      <c r="K488" s="7">
        <v>60.07</v>
      </c>
      <c r="L488" s="8">
        <v>440</v>
      </c>
      <c r="M488" s="8">
        <v>480.56</v>
      </c>
      <c r="N488">
        <v>23</v>
      </c>
      <c r="O488" t="s">
        <v>132</v>
      </c>
      <c r="P488" t="s">
        <v>119</v>
      </c>
    </row>
    <row r="489" spans="1:16" x14ac:dyDescent="0.25">
      <c r="A489" s="10">
        <v>46014</v>
      </c>
      <c r="B489" s="1" t="s">
        <v>108</v>
      </c>
      <c r="C489" s="2">
        <v>14</v>
      </c>
      <c r="D489" s="1" t="s">
        <v>12</v>
      </c>
      <c r="E489" s="1" t="s">
        <v>13</v>
      </c>
      <c r="F489" s="3">
        <v>0</v>
      </c>
      <c r="G489" s="1" t="s">
        <v>109</v>
      </c>
      <c r="H489" s="1" t="s">
        <v>43</v>
      </c>
      <c r="I489" s="1" t="s">
        <v>26</v>
      </c>
      <c r="J489" s="7">
        <v>65</v>
      </c>
      <c r="K489" s="7">
        <v>72.14</v>
      </c>
      <c r="L489" s="8">
        <v>910</v>
      </c>
      <c r="M489" s="8">
        <v>1009.96</v>
      </c>
      <c r="N489">
        <v>23</v>
      </c>
      <c r="O489" t="s">
        <v>132</v>
      </c>
      <c r="P489" t="s">
        <v>119</v>
      </c>
    </row>
    <row r="490" spans="1:16" x14ac:dyDescent="0.25">
      <c r="A490" s="10">
        <v>46014</v>
      </c>
      <c r="B490" s="1" t="s">
        <v>34</v>
      </c>
      <c r="C490" s="2">
        <v>7</v>
      </c>
      <c r="D490" s="1" t="s">
        <v>18</v>
      </c>
      <c r="E490" s="1" t="s">
        <v>23</v>
      </c>
      <c r="F490" s="3">
        <v>0</v>
      </c>
      <c r="G490" s="1" t="s">
        <v>35</v>
      </c>
      <c r="H490" s="1" t="s">
        <v>20</v>
      </c>
      <c r="I490" s="1" t="s">
        <v>16</v>
      </c>
      <c r="J490" s="7">
        <v>5</v>
      </c>
      <c r="K490" s="7">
        <v>5.73</v>
      </c>
      <c r="L490" s="8">
        <v>35</v>
      </c>
      <c r="M490" s="8">
        <v>40.11</v>
      </c>
      <c r="N490">
        <v>23</v>
      </c>
      <c r="O490" t="s">
        <v>132</v>
      </c>
      <c r="P490" t="s">
        <v>119</v>
      </c>
    </row>
    <row r="491" spans="1:16" x14ac:dyDescent="0.25">
      <c r="A491" s="10">
        <v>46015</v>
      </c>
      <c r="B491" s="1" t="s">
        <v>36</v>
      </c>
      <c r="C491" s="2">
        <v>15</v>
      </c>
      <c r="D491" s="1" t="s">
        <v>18</v>
      </c>
      <c r="E491" s="1" t="s">
        <v>13</v>
      </c>
      <c r="F491" s="3">
        <v>0</v>
      </c>
      <c r="G491" s="1" t="s">
        <v>37</v>
      </c>
      <c r="H491" s="1" t="s">
        <v>15</v>
      </c>
      <c r="I491" s="1" t="s">
        <v>38</v>
      </c>
      <c r="J491" s="7">
        <v>141</v>
      </c>
      <c r="K491" s="7">
        <v>160.22999999999999</v>
      </c>
      <c r="L491" s="8">
        <v>2115</v>
      </c>
      <c r="M491" s="8">
        <v>2403.4499999999998</v>
      </c>
      <c r="N491">
        <v>24</v>
      </c>
      <c r="O491" t="s">
        <v>132</v>
      </c>
      <c r="P491" t="s">
        <v>119</v>
      </c>
    </row>
    <row r="492" spans="1:16" x14ac:dyDescent="0.25">
      <c r="A492" s="10">
        <v>46016</v>
      </c>
      <c r="B492" s="1" t="s">
        <v>48</v>
      </c>
      <c r="C492" s="2">
        <v>1</v>
      </c>
      <c r="D492" s="1" t="s">
        <v>12</v>
      </c>
      <c r="E492" s="1" t="s">
        <v>13</v>
      </c>
      <c r="F492" s="3">
        <v>0.02</v>
      </c>
      <c r="G492" s="1" t="s">
        <v>49</v>
      </c>
      <c r="H492" s="1" t="s">
        <v>15</v>
      </c>
      <c r="I492" s="1" t="s">
        <v>26</v>
      </c>
      <c r="J492" s="7">
        <v>67</v>
      </c>
      <c r="K492" s="7">
        <v>76.89</v>
      </c>
      <c r="L492" s="8">
        <v>67</v>
      </c>
      <c r="M492" s="8">
        <v>76.89</v>
      </c>
      <c r="N492">
        <v>25</v>
      </c>
      <c r="O492" t="s">
        <v>132</v>
      </c>
      <c r="P492" t="s">
        <v>119</v>
      </c>
    </row>
    <row r="493" spans="1:16" x14ac:dyDescent="0.25">
      <c r="A493" s="10">
        <v>46017</v>
      </c>
      <c r="B493" s="1" t="s">
        <v>58</v>
      </c>
      <c r="C493" s="2">
        <v>3</v>
      </c>
      <c r="D493" s="1" t="s">
        <v>18</v>
      </c>
      <c r="E493" s="1" t="s">
        <v>13</v>
      </c>
      <c r="F493" s="3">
        <v>0</v>
      </c>
      <c r="G493" s="1" t="s">
        <v>59</v>
      </c>
      <c r="H493" s="1" t="s">
        <v>43</v>
      </c>
      <c r="I493" s="1" t="s">
        <v>26</v>
      </c>
      <c r="J493" s="7">
        <v>98</v>
      </c>
      <c r="K493" s="7">
        <v>113.51</v>
      </c>
      <c r="L493" s="8">
        <v>294</v>
      </c>
      <c r="M493" s="8">
        <v>340.53000000000003</v>
      </c>
      <c r="N493">
        <v>26</v>
      </c>
      <c r="O493" t="s">
        <v>132</v>
      </c>
      <c r="P493" t="s">
        <v>119</v>
      </c>
    </row>
    <row r="494" spans="1:16" x14ac:dyDescent="0.25">
      <c r="A494" s="10">
        <v>46018</v>
      </c>
      <c r="B494" s="1" t="s">
        <v>68</v>
      </c>
      <c r="C494" s="2">
        <v>9</v>
      </c>
      <c r="D494" s="1" t="s">
        <v>18</v>
      </c>
      <c r="E494" s="1" t="s">
        <v>13</v>
      </c>
      <c r="F494" s="3">
        <v>0.02</v>
      </c>
      <c r="G494" s="1" t="s">
        <v>69</v>
      </c>
      <c r="H494" s="1" t="s">
        <v>15</v>
      </c>
      <c r="I494" s="1" t="s">
        <v>38</v>
      </c>
      <c r="J494" s="7">
        <v>130</v>
      </c>
      <c r="K494" s="7">
        <v>143.15</v>
      </c>
      <c r="L494" s="8">
        <v>1170</v>
      </c>
      <c r="M494" s="8">
        <v>1288.3500000000001</v>
      </c>
      <c r="N494">
        <v>27</v>
      </c>
      <c r="O494" t="s">
        <v>132</v>
      </c>
      <c r="P494" t="s">
        <v>119</v>
      </c>
    </row>
    <row r="495" spans="1:16" x14ac:dyDescent="0.25">
      <c r="A495" s="10">
        <v>46018</v>
      </c>
      <c r="B495" s="1" t="s">
        <v>22</v>
      </c>
      <c r="C495" s="2">
        <v>7</v>
      </c>
      <c r="D495" s="1" t="s">
        <v>12</v>
      </c>
      <c r="E495" s="1" t="s">
        <v>13</v>
      </c>
      <c r="F495" s="3">
        <v>0</v>
      </c>
      <c r="G495" s="1" t="s">
        <v>24</v>
      </c>
      <c r="H495" s="1" t="s">
        <v>25</v>
      </c>
      <c r="I495" s="1" t="s">
        <v>26</v>
      </c>
      <c r="J495" s="7">
        <v>112</v>
      </c>
      <c r="K495" s="7">
        <v>126.94</v>
      </c>
      <c r="L495" s="8">
        <v>784</v>
      </c>
      <c r="M495" s="8">
        <v>888.57999999999993</v>
      </c>
      <c r="N495">
        <v>27</v>
      </c>
      <c r="O495" t="s">
        <v>132</v>
      </c>
      <c r="P495" t="s">
        <v>119</v>
      </c>
    </row>
    <row r="496" spans="1:16" x14ac:dyDescent="0.25">
      <c r="A496" s="10">
        <v>46019</v>
      </c>
      <c r="B496" s="1" t="s">
        <v>48</v>
      </c>
      <c r="C496" s="2">
        <v>12</v>
      </c>
      <c r="D496" s="1" t="s">
        <v>12</v>
      </c>
      <c r="E496" s="1" t="s">
        <v>23</v>
      </c>
      <c r="F496" s="3">
        <v>0</v>
      </c>
      <c r="G496" s="1" t="s">
        <v>49</v>
      </c>
      <c r="H496" s="1" t="s">
        <v>15</v>
      </c>
      <c r="I496" s="1" t="s">
        <v>26</v>
      </c>
      <c r="J496" s="7">
        <v>67</v>
      </c>
      <c r="K496" s="7">
        <v>77.64</v>
      </c>
      <c r="L496" s="8">
        <v>804</v>
      </c>
      <c r="M496" s="8">
        <v>931.68000000000006</v>
      </c>
      <c r="N496">
        <v>28</v>
      </c>
      <c r="O496" t="s">
        <v>132</v>
      </c>
      <c r="P496" t="s">
        <v>119</v>
      </c>
    </row>
    <row r="497" spans="1:16" x14ac:dyDescent="0.25">
      <c r="A497" s="10">
        <v>46019</v>
      </c>
      <c r="B497" s="1" t="s">
        <v>80</v>
      </c>
      <c r="C497" s="2">
        <v>8</v>
      </c>
      <c r="D497" s="1" t="s">
        <v>18</v>
      </c>
      <c r="E497" s="1" t="s">
        <v>23</v>
      </c>
      <c r="F497" s="3">
        <v>0.02</v>
      </c>
      <c r="G497" s="1" t="s">
        <v>81</v>
      </c>
      <c r="H497" s="1" t="s">
        <v>20</v>
      </c>
      <c r="I497" s="1" t="s">
        <v>26</v>
      </c>
      <c r="J497" s="7">
        <v>93</v>
      </c>
      <c r="K497" s="7">
        <v>106.05</v>
      </c>
      <c r="L497" s="8">
        <v>744</v>
      </c>
      <c r="M497" s="8">
        <v>848.4</v>
      </c>
      <c r="N497">
        <v>28</v>
      </c>
      <c r="O497" t="s">
        <v>132</v>
      </c>
      <c r="P497" t="s">
        <v>119</v>
      </c>
    </row>
    <row r="498" spans="1:16" x14ac:dyDescent="0.25">
      <c r="A498" s="10">
        <v>46020</v>
      </c>
      <c r="B498" s="1" t="s">
        <v>74</v>
      </c>
      <c r="C498" s="2">
        <v>8</v>
      </c>
      <c r="D498" s="1" t="s">
        <v>18</v>
      </c>
      <c r="E498" s="1" t="s">
        <v>23</v>
      </c>
      <c r="F498" s="3">
        <v>0</v>
      </c>
      <c r="G498" s="1" t="s">
        <v>75</v>
      </c>
      <c r="H498" s="1" t="s">
        <v>20</v>
      </c>
      <c r="I498" s="1" t="s">
        <v>21</v>
      </c>
      <c r="J498" s="7">
        <v>47</v>
      </c>
      <c r="K498" s="7">
        <v>55.07</v>
      </c>
      <c r="L498" s="8">
        <v>376</v>
      </c>
      <c r="M498" s="8">
        <v>440.56</v>
      </c>
      <c r="N498">
        <v>29</v>
      </c>
      <c r="O498" t="s">
        <v>132</v>
      </c>
      <c r="P498" t="s">
        <v>119</v>
      </c>
    </row>
    <row r="499" spans="1:16" x14ac:dyDescent="0.25">
      <c r="A499" s="10">
        <v>46020</v>
      </c>
      <c r="B499" s="1" t="s">
        <v>22</v>
      </c>
      <c r="C499" s="2">
        <v>8</v>
      </c>
      <c r="D499" s="1" t="s">
        <v>18</v>
      </c>
      <c r="E499" s="1" t="s">
        <v>23</v>
      </c>
      <c r="F499" s="3">
        <v>0</v>
      </c>
      <c r="G499" s="1" t="s">
        <v>24</v>
      </c>
      <c r="H499" s="1" t="s">
        <v>25</v>
      </c>
      <c r="I499" s="1" t="s">
        <v>26</v>
      </c>
      <c r="J499" s="7">
        <v>112</v>
      </c>
      <c r="K499" s="7">
        <v>129.87</v>
      </c>
      <c r="L499" s="8">
        <v>896</v>
      </c>
      <c r="M499" s="8">
        <v>1038.96</v>
      </c>
      <c r="N499">
        <v>29</v>
      </c>
      <c r="O499" t="s">
        <v>132</v>
      </c>
      <c r="P499" t="s">
        <v>119</v>
      </c>
    </row>
    <row r="500" spans="1:16" x14ac:dyDescent="0.25">
      <c r="A500" s="10">
        <v>46021</v>
      </c>
      <c r="B500" s="1" t="s">
        <v>74</v>
      </c>
      <c r="C500" s="2">
        <v>8</v>
      </c>
      <c r="D500" s="1" t="s">
        <v>13</v>
      </c>
      <c r="E500" s="1" t="s">
        <v>23</v>
      </c>
      <c r="F500" s="3">
        <v>0</v>
      </c>
      <c r="G500" s="1" t="s">
        <v>75</v>
      </c>
      <c r="H500" s="1" t="s">
        <v>20</v>
      </c>
      <c r="I500" s="1" t="s">
        <v>21</v>
      </c>
      <c r="J500" s="7">
        <v>47</v>
      </c>
      <c r="K500" s="7">
        <v>51.8</v>
      </c>
      <c r="L500" s="8">
        <v>376</v>
      </c>
      <c r="M500" s="8">
        <v>414.4</v>
      </c>
      <c r="N500">
        <v>30</v>
      </c>
      <c r="O500" t="s">
        <v>132</v>
      </c>
      <c r="P500" t="s">
        <v>119</v>
      </c>
    </row>
    <row r="501" spans="1:16" x14ac:dyDescent="0.25">
      <c r="A501" s="10">
        <v>46022</v>
      </c>
      <c r="B501" s="1" t="s">
        <v>94</v>
      </c>
      <c r="C501" s="2">
        <v>15</v>
      </c>
      <c r="D501" s="1" t="s">
        <v>13</v>
      </c>
      <c r="E501" s="1" t="s">
        <v>23</v>
      </c>
      <c r="F501" s="3">
        <v>0</v>
      </c>
      <c r="G501" s="1" t="s">
        <v>95</v>
      </c>
      <c r="H501" s="1" t="s">
        <v>20</v>
      </c>
      <c r="I501" s="1" t="s">
        <v>26</v>
      </c>
      <c r="J501" s="7">
        <v>56</v>
      </c>
      <c r="K501" s="7">
        <v>63.65</v>
      </c>
      <c r="L501" s="8">
        <v>840</v>
      </c>
      <c r="M501" s="8">
        <v>954.75</v>
      </c>
      <c r="N501">
        <v>31</v>
      </c>
      <c r="O501" t="s">
        <v>132</v>
      </c>
      <c r="P501" t="s">
        <v>119</v>
      </c>
    </row>
    <row r="502" spans="1:16" x14ac:dyDescent="0.25">
      <c r="A502" s="10">
        <v>45292</v>
      </c>
      <c r="B502" s="1" t="s">
        <v>94</v>
      </c>
      <c r="C502" s="2">
        <v>8</v>
      </c>
      <c r="D502" s="1" t="s">
        <v>18</v>
      </c>
      <c r="E502" s="1" t="s">
        <v>23</v>
      </c>
      <c r="F502" s="3">
        <v>0.02</v>
      </c>
      <c r="G502" s="1" t="s">
        <v>95</v>
      </c>
      <c r="H502" s="1" t="s">
        <v>20</v>
      </c>
      <c r="I502" s="1" t="s">
        <v>26</v>
      </c>
      <c r="J502" s="7">
        <v>59</v>
      </c>
      <c r="K502" s="7">
        <v>65.91</v>
      </c>
      <c r="L502" s="8">
        <v>472</v>
      </c>
      <c r="M502" s="8">
        <v>527.28</v>
      </c>
      <c r="N502">
        <v>1</v>
      </c>
      <c r="O502" t="s">
        <v>122</v>
      </c>
      <c r="P502" t="s">
        <v>121</v>
      </c>
    </row>
    <row r="503" spans="1:16" x14ac:dyDescent="0.25">
      <c r="A503" s="10">
        <v>45292</v>
      </c>
      <c r="B503" s="1" t="s">
        <v>64</v>
      </c>
      <c r="C503" s="2">
        <v>4</v>
      </c>
      <c r="D503" s="1" t="s">
        <v>12</v>
      </c>
      <c r="E503" s="1" t="s">
        <v>13</v>
      </c>
      <c r="F503" s="3">
        <v>0</v>
      </c>
      <c r="G503" s="1" t="s">
        <v>65</v>
      </c>
      <c r="H503" s="1" t="s">
        <v>25</v>
      </c>
      <c r="I503" s="1" t="s">
        <v>26</v>
      </c>
      <c r="J503" s="7">
        <v>65</v>
      </c>
      <c r="K503" s="7">
        <v>72.23</v>
      </c>
      <c r="L503" s="8">
        <v>260</v>
      </c>
      <c r="M503" s="8">
        <v>288.92</v>
      </c>
      <c r="N503">
        <v>1</v>
      </c>
      <c r="O503" t="s">
        <v>122</v>
      </c>
      <c r="P503" t="s">
        <v>121</v>
      </c>
    </row>
    <row r="504" spans="1:16" x14ac:dyDescent="0.25">
      <c r="A504" s="10">
        <v>45293</v>
      </c>
      <c r="B504" s="1" t="s">
        <v>31</v>
      </c>
      <c r="C504" s="2">
        <v>7</v>
      </c>
      <c r="D504" s="1" t="s">
        <v>18</v>
      </c>
      <c r="E504" s="1" t="s">
        <v>23</v>
      </c>
      <c r="F504" s="3">
        <v>0.05</v>
      </c>
      <c r="G504" s="1" t="s">
        <v>32</v>
      </c>
      <c r="H504" s="1" t="s">
        <v>33</v>
      </c>
      <c r="I504" s="1" t="s">
        <v>21</v>
      </c>
      <c r="J504" s="7">
        <v>67</v>
      </c>
      <c r="K504" s="7">
        <v>73.44</v>
      </c>
      <c r="L504" s="8">
        <v>469</v>
      </c>
      <c r="M504" s="8">
        <v>514.07999999999993</v>
      </c>
      <c r="N504">
        <v>2</v>
      </c>
      <c r="O504" t="s">
        <v>122</v>
      </c>
      <c r="P504" t="s">
        <v>121</v>
      </c>
    </row>
    <row r="505" spans="1:16" x14ac:dyDescent="0.25">
      <c r="A505" s="10">
        <v>45294</v>
      </c>
      <c r="B505" s="1" t="s">
        <v>92</v>
      </c>
      <c r="C505" s="2">
        <v>3</v>
      </c>
      <c r="D505" s="1" t="s">
        <v>12</v>
      </c>
      <c r="E505" s="1" t="s">
        <v>13</v>
      </c>
      <c r="F505" s="3">
        <v>0.08</v>
      </c>
      <c r="G505" s="1" t="s">
        <v>93</v>
      </c>
      <c r="H505" s="1" t="s">
        <v>33</v>
      </c>
      <c r="I505" s="1" t="s">
        <v>26</v>
      </c>
      <c r="J505" s="7">
        <v>76</v>
      </c>
      <c r="K505" s="7">
        <v>78.790000000000006</v>
      </c>
      <c r="L505" s="8">
        <v>228</v>
      </c>
      <c r="M505" s="8">
        <v>236.37</v>
      </c>
      <c r="N505">
        <v>3</v>
      </c>
      <c r="O505" t="s">
        <v>122</v>
      </c>
      <c r="P505" t="s">
        <v>121</v>
      </c>
    </row>
    <row r="506" spans="1:16" x14ac:dyDescent="0.25">
      <c r="A506" s="10">
        <v>45295</v>
      </c>
      <c r="B506" s="1" t="s">
        <v>110</v>
      </c>
      <c r="C506" s="2">
        <v>2</v>
      </c>
      <c r="D506" s="1" t="s">
        <v>12</v>
      </c>
      <c r="E506" s="1" t="s">
        <v>23</v>
      </c>
      <c r="F506" s="3">
        <v>0.1</v>
      </c>
      <c r="G506" s="1" t="s">
        <v>111</v>
      </c>
      <c r="H506" s="1" t="s">
        <v>25</v>
      </c>
      <c r="I506" s="1" t="s">
        <v>26</v>
      </c>
      <c r="J506" s="7">
        <v>118</v>
      </c>
      <c r="K506" s="7">
        <v>121.48</v>
      </c>
      <c r="L506" s="8">
        <v>236</v>
      </c>
      <c r="M506" s="8">
        <v>242.96</v>
      </c>
      <c r="N506">
        <v>4</v>
      </c>
      <c r="O506" t="s">
        <v>122</v>
      </c>
      <c r="P506" t="s">
        <v>121</v>
      </c>
    </row>
    <row r="507" spans="1:16" x14ac:dyDescent="0.25">
      <c r="A507" s="10">
        <v>45295</v>
      </c>
      <c r="B507" s="1" t="s">
        <v>48</v>
      </c>
      <c r="C507" s="2">
        <v>5</v>
      </c>
      <c r="D507" s="1" t="s">
        <v>18</v>
      </c>
      <c r="E507" s="1" t="s">
        <v>23</v>
      </c>
      <c r="F507" s="3">
        <v>0</v>
      </c>
      <c r="G507" s="1" t="s">
        <v>49</v>
      </c>
      <c r="H507" s="1" t="s">
        <v>15</v>
      </c>
      <c r="I507" s="1" t="s">
        <v>26</v>
      </c>
      <c r="J507" s="7">
        <v>73</v>
      </c>
      <c r="K507" s="7">
        <v>86.01</v>
      </c>
      <c r="L507" s="8">
        <v>365</v>
      </c>
      <c r="M507" s="8">
        <v>430.05</v>
      </c>
      <c r="N507">
        <v>4</v>
      </c>
      <c r="O507" t="s">
        <v>122</v>
      </c>
      <c r="P507" t="s">
        <v>121</v>
      </c>
    </row>
    <row r="508" spans="1:16" x14ac:dyDescent="0.25">
      <c r="A508" s="10">
        <v>45295</v>
      </c>
      <c r="B508" s="1" t="s">
        <v>11</v>
      </c>
      <c r="C508" s="2">
        <v>2</v>
      </c>
      <c r="D508" s="1" t="s">
        <v>18</v>
      </c>
      <c r="E508" s="1" t="s">
        <v>23</v>
      </c>
      <c r="F508" s="3">
        <v>0</v>
      </c>
      <c r="G508" s="1" t="s">
        <v>14</v>
      </c>
      <c r="H508" s="1" t="s">
        <v>15</v>
      </c>
      <c r="I508" s="1" t="s">
        <v>16</v>
      </c>
      <c r="J508" s="7">
        <v>8</v>
      </c>
      <c r="K508" s="7">
        <v>8.7899999999999991</v>
      </c>
      <c r="L508" s="8">
        <v>16</v>
      </c>
      <c r="M508" s="8">
        <v>17.579999999999998</v>
      </c>
      <c r="N508">
        <v>4</v>
      </c>
      <c r="O508" t="s">
        <v>122</v>
      </c>
      <c r="P508" t="s">
        <v>121</v>
      </c>
    </row>
    <row r="509" spans="1:16" x14ac:dyDescent="0.25">
      <c r="A509" s="10">
        <v>45295</v>
      </c>
      <c r="B509" s="1" t="s">
        <v>90</v>
      </c>
      <c r="C509" s="2">
        <v>7</v>
      </c>
      <c r="D509" s="1" t="s">
        <v>18</v>
      </c>
      <c r="E509" s="1" t="s">
        <v>23</v>
      </c>
      <c r="F509" s="3">
        <v>0</v>
      </c>
      <c r="G509" s="1" t="s">
        <v>91</v>
      </c>
      <c r="H509" s="1" t="s">
        <v>20</v>
      </c>
      <c r="I509" s="1" t="s">
        <v>26</v>
      </c>
      <c r="J509" s="7">
        <v>95</v>
      </c>
      <c r="K509" s="7">
        <v>108.04</v>
      </c>
      <c r="L509" s="8">
        <v>665</v>
      </c>
      <c r="M509" s="8">
        <v>756.28000000000009</v>
      </c>
      <c r="N509">
        <v>4</v>
      </c>
      <c r="O509" t="s">
        <v>122</v>
      </c>
      <c r="P509" t="s">
        <v>121</v>
      </c>
    </row>
    <row r="510" spans="1:16" x14ac:dyDescent="0.25">
      <c r="A510" s="10">
        <v>45296</v>
      </c>
      <c r="B510" s="1" t="s">
        <v>39</v>
      </c>
      <c r="C510" s="2">
        <v>11</v>
      </c>
      <c r="D510" s="1" t="s">
        <v>13</v>
      </c>
      <c r="E510" s="1" t="s">
        <v>23</v>
      </c>
      <c r="F510" s="3">
        <v>0</v>
      </c>
      <c r="G510" s="1" t="s">
        <v>40</v>
      </c>
      <c r="H510" s="1" t="s">
        <v>33</v>
      </c>
      <c r="I510" s="1" t="s">
        <v>38</v>
      </c>
      <c r="J510" s="7">
        <v>106</v>
      </c>
      <c r="K510" s="7">
        <v>114.8</v>
      </c>
      <c r="L510" s="8">
        <v>1166</v>
      </c>
      <c r="M510" s="8">
        <v>1262.8</v>
      </c>
      <c r="N510">
        <v>5</v>
      </c>
      <c r="O510" t="s">
        <v>122</v>
      </c>
      <c r="P510" t="s">
        <v>121</v>
      </c>
    </row>
    <row r="511" spans="1:16" x14ac:dyDescent="0.25">
      <c r="A511" s="10">
        <v>45297</v>
      </c>
      <c r="B511" s="1" t="s">
        <v>11</v>
      </c>
      <c r="C511" s="2">
        <v>15</v>
      </c>
      <c r="D511" s="1" t="s">
        <v>13</v>
      </c>
      <c r="E511" s="1" t="s">
        <v>23</v>
      </c>
      <c r="F511" s="3">
        <v>0.05</v>
      </c>
      <c r="G511" s="1" t="s">
        <v>14</v>
      </c>
      <c r="H511" s="1" t="s">
        <v>15</v>
      </c>
      <c r="I511" s="1" t="s">
        <v>16</v>
      </c>
      <c r="J511" s="7">
        <v>7</v>
      </c>
      <c r="K511" s="7">
        <v>7.64</v>
      </c>
      <c r="L511" s="8">
        <v>105</v>
      </c>
      <c r="M511" s="8">
        <v>114.6</v>
      </c>
      <c r="N511">
        <v>6</v>
      </c>
      <c r="O511" t="s">
        <v>122</v>
      </c>
      <c r="P511" t="s">
        <v>121</v>
      </c>
    </row>
    <row r="512" spans="1:16" x14ac:dyDescent="0.25">
      <c r="A512" s="10">
        <v>45298</v>
      </c>
      <c r="B512" s="1" t="s">
        <v>86</v>
      </c>
      <c r="C512" s="2">
        <v>11</v>
      </c>
      <c r="D512" s="1" t="s">
        <v>18</v>
      </c>
      <c r="E512" s="1" t="s">
        <v>23</v>
      </c>
      <c r="F512" s="3">
        <v>0</v>
      </c>
      <c r="G512" s="1" t="s">
        <v>87</v>
      </c>
      <c r="H512" s="1" t="s">
        <v>20</v>
      </c>
      <c r="I512" s="1" t="s">
        <v>21</v>
      </c>
      <c r="J512" s="7">
        <v>56</v>
      </c>
      <c r="K512" s="7">
        <v>65.94</v>
      </c>
      <c r="L512" s="8">
        <v>616</v>
      </c>
      <c r="M512" s="8">
        <v>725.33999999999992</v>
      </c>
      <c r="N512">
        <v>7</v>
      </c>
      <c r="O512" t="s">
        <v>122</v>
      </c>
      <c r="P512" t="s">
        <v>121</v>
      </c>
    </row>
    <row r="513" spans="1:16" x14ac:dyDescent="0.25">
      <c r="A513" s="10">
        <v>45299</v>
      </c>
      <c r="B513" s="1" t="s">
        <v>70</v>
      </c>
      <c r="C513" s="2">
        <v>9</v>
      </c>
      <c r="D513" s="1" t="s">
        <v>13</v>
      </c>
      <c r="E513" s="1" t="s">
        <v>23</v>
      </c>
      <c r="F513" s="3">
        <v>0</v>
      </c>
      <c r="G513" s="1" t="s">
        <v>71</v>
      </c>
      <c r="H513" s="1" t="s">
        <v>43</v>
      </c>
      <c r="I513" s="1" t="s">
        <v>21</v>
      </c>
      <c r="J513" s="7">
        <v>55</v>
      </c>
      <c r="K513" s="7">
        <v>62.35</v>
      </c>
      <c r="L513" s="8">
        <v>495</v>
      </c>
      <c r="M513" s="8">
        <v>561.15</v>
      </c>
      <c r="N513">
        <v>8</v>
      </c>
      <c r="O513" t="s">
        <v>122</v>
      </c>
      <c r="P513" t="s">
        <v>121</v>
      </c>
    </row>
    <row r="514" spans="1:16" x14ac:dyDescent="0.25">
      <c r="A514" s="10">
        <v>45300</v>
      </c>
      <c r="B514" s="1" t="s">
        <v>84</v>
      </c>
      <c r="C514" s="2">
        <v>5</v>
      </c>
      <c r="D514" s="1" t="s">
        <v>13</v>
      </c>
      <c r="E514" s="1" t="s">
        <v>13</v>
      </c>
      <c r="F514" s="3">
        <v>0</v>
      </c>
      <c r="G514" s="1" t="s">
        <v>85</v>
      </c>
      <c r="H514" s="1" t="s">
        <v>33</v>
      </c>
      <c r="I514" s="1" t="s">
        <v>38</v>
      </c>
      <c r="J514" s="7">
        <v>129</v>
      </c>
      <c r="K514" s="7">
        <v>140.04</v>
      </c>
      <c r="L514" s="8">
        <v>645</v>
      </c>
      <c r="M514" s="8">
        <v>700.19999999999993</v>
      </c>
      <c r="N514">
        <v>9</v>
      </c>
      <c r="O514" t="s">
        <v>122</v>
      </c>
      <c r="P514" t="s">
        <v>121</v>
      </c>
    </row>
    <row r="515" spans="1:16" x14ac:dyDescent="0.25">
      <c r="A515" s="10">
        <v>45300</v>
      </c>
      <c r="B515" s="1" t="s">
        <v>22</v>
      </c>
      <c r="C515" s="2">
        <v>11</v>
      </c>
      <c r="D515" s="1" t="s">
        <v>18</v>
      </c>
      <c r="E515" s="1" t="s">
        <v>13</v>
      </c>
      <c r="F515" s="3">
        <v>0</v>
      </c>
      <c r="G515" s="1" t="s">
        <v>24</v>
      </c>
      <c r="H515" s="1" t="s">
        <v>25</v>
      </c>
      <c r="I515" s="1" t="s">
        <v>26</v>
      </c>
      <c r="J515" s="7">
        <v>121</v>
      </c>
      <c r="K515" s="7">
        <v>133.37</v>
      </c>
      <c r="L515" s="8">
        <v>1331</v>
      </c>
      <c r="M515" s="8">
        <v>1467.0700000000002</v>
      </c>
      <c r="N515">
        <v>9</v>
      </c>
      <c r="O515" t="s">
        <v>122</v>
      </c>
      <c r="P515" t="s">
        <v>121</v>
      </c>
    </row>
    <row r="516" spans="1:16" x14ac:dyDescent="0.25">
      <c r="A516" s="10">
        <v>45301</v>
      </c>
      <c r="B516" s="1" t="s">
        <v>17</v>
      </c>
      <c r="C516" s="2">
        <v>4</v>
      </c>
      <c r="D516" s="1" t="s">
        <v>13</v>
      </c>
      <c r="E516" s="1" t="s">
        <v>23</v>
      </c>
      <c r="F516" s="3">
        <v>0</v>
      </c>
      <c r="G516" s="1" t="s">
        <v>19</v>
      </c>
      <c r="H516" s="1" t="s">
        <v>20</v>
      </c>
      <c r="I516" s="1" t="s">
        <v>21</v>
      </c>
      <c r="J516" s="7">
        <v>51</v>
      </c>
      <c r="K516" s="7">
        <v>59.15</v>
      </c>
      <c r="L516" s="8">
        <v>204</v>
      </c>
      <c r="M516" s="8">
        <v>236.6</v>
      </c>
      <c r="N516">
        <v>10</v>
      </c>
      <c r="O516" t="s">
        <v>122</v>
      </c>
      <c r="P516" t="s">
        <v>121</v>
      </c>
    </row>
    <row r="517" spans="1:16" x14ac:dyDescent="0.25">
      <c r="A517" s="10">
        <v>45301</v>
      </c>
      <c r="B517" s="1" t="s">
        <v>29</v>
      </c>
      <c r="C517" s="2">
        <v>4</v>
      </c>
      <c r="D517" s="1" t="s">
        <v>12</v>
      </c>
      <c r="E517" s="1" t="s">
        <v>23</v>
      </c>
      <c r="F517" s="3">
        <v>0.08</v>
      </c>
      <c r="G517" s="1" t="s">
        <v>30</v>
      </c>
      <c r="H517" s="1" t="s">
        <v>15</v>
      </c>
      <c r="I517" s="1" t="s">
        <v>16</v>
      </c>
      <c r="J517" s="7">
        <v>13</v>
      </c>
      <c r="K517" s="7">
        <v>13.18</v>
      </c>
      <c r="L517" s="8">
        <v>52</v>
      </c>
      <c r="M517" s="8">
        <v>52.72</v>
      </c>
      <c r="N517">
        <v>10</v>
      </c>
      <c r="O517" t="s">
        <v>122</v>
      </c>
      <c r="P517" t="s">
        <v>121</v>
      </c>
    </row>
    <row r="518" spans="1:16" x14ac:dyDescent="0.25">
      <c r="A518" s="10">
        <v>45302</v>
      </c>
      <c r="B518" s="1" t="s">
        <v>98</v>
      </c>
      <c r="C518" s="2">
        <v>11</v>
      </c>
      <c r="D518" s="1" t="s">
        <v>18</v>
      </c>
      <c r="E518" s="1" t="s">
        <v>23</v>
      </c>
      <c r="F518" s="3">
        <v>0</v>
      </c>
      <c r="G518" s="1" t="s">
        <v>99</v>
      </c>
      <c r="H518" s="1" t="s">
        <v>43</v>
      </c>
      <c r="I518" s="1" t="s">
        <v>21</v>
      </c>
      <c r="J518" s="7">
        <v>48</v>
      </c>
      <c r="K518" s="7">
        <v>56.35</v>
      </c>
      <c r="L518" s="8">
        <v>528</v>
      </c>
      <c r="M518" s="8">
        <v>619.85</v>
      </c>
      <c r="N518">
        <v>11</v>
      </c>
      <c r="O518" t="s">
        <v>122</v>
      </c>
      <c r="P518" t="s">
        <v>121</v>
      </c>
    </row>
    <row r="519" spans="1:16" x14ac:dyDescent="0.25">
      <c r="A519" s="10">
        <v>45302</v>
      </c>
      <c r="B519" s="1" t="s">
        <v>100</v>
      </c>
      <c r="C519" s="2">
        <v>7</v>
      </c>
      <c r="D519" s="1" t="s">
        <v>13</v>
      </c>
      <c r="E519" s="1" t="s">
        <v>13</v>
      </c>
      <c r="F519" s="3">
        <v>0</v>
      </c>
      <c r="G519" s="1" t="s">
        <v>101</v>
      </c>
      <c r="H519" s="1" t="s">
        <v>25</v>
      </c>
      <c r="I519" s="1" t="s">
        <v>26</v>
      </c>
      <c r="J519" s="7">
        <v>91</v>
      </c>
      <c r="K519" s="7">
        <v>99.77</v>
      </c>
      <c r="L519" s="8">
        <v>637</v>
      </c>
      <c r="M519" s="8">
        <v>698.39</v>
      </c>
      <c r="N519">
        <v>11</v>
      </c>
      <c r="O519" t="s">
        <v>122</v>
      </c>
      <c r="P519" t="s">
        <v>121</v>
      </c>
    </row>
    <row r="520" spans="1:16" x14ac:dyDescent="0.25">
      <c r="A520" s="10">
        <v>45303</v>
      </c>
      <c r="B520" s="1" t="s">
        <v>29</v>
      </c>
      <c r="C520" s="2">
        <v>2</v>
      </c>
      <c r="D520" s="1" t="s">
        <v>18</v>
      </c>
      <c r="E520" s="1" t="s">
        <v>23</v>
      </c>
      <c r="F520" s="3">
        <v>0</v>
      </c>
      <c r="G520" s="1" t="s">
        <v>30</v>
      </c>
      <c r="H520" s="1" t="s">
        <v>15</v>
      </c>
      <c r="I520" s="1" t="s">
        <v>16</v>
      </c>
      <c r="J520" s="7">
        <v>12</v>
      </c>
      <c r="K520" s="7">
        <v>13.75</v>
      </c>
      <c r="L520" s="8">
        <v>24</v>
      </c>
      <c r="M520" s="8">
        <v>27.5</v>
      </c>
      <c r="N520">
        <v>12</v>
      </c>
      <c r="O520" t="s">
        <v>122</v>
      </c>
      <c r="P520" t="s">
        <v>121</v>
      </c>
    </row>
    <row r="521" spans="1:16" x14ac:dyDescent="0.25">
      <c r="A521" s="10">
        <v>45305</v>
      </c>
      <c r="B521" s="1" t="s">
        <v>74</v>
      </c>
      <c r="C521" s="2">
        <v>9</v>
      </c>
      <c r="D521" s="1" t="s">
        <v>13</v>
      </c>
      <c r="E521" s="1" t="s">
        <v>23</v>
      </c>
      <c r="F521" s="3">
        <v>0</v>
      </c>
      <c r="G521" s="1" t="s">
        <v>75</v>
      </c>
      <c r="H521" s="1" t="s">
        <v>20</v>
      </c>
      <c r="I521" s="1" t="s">
        <v>21</v>
      </c>
      <c r="J521" s="7">
        <v>49</v>
      </c>
      <c r="K521" s="7">
        <v>55.41</v>
      </c>
      <c r="L521" s="8">
        <v>441</v>
      </c>
      <c r="M521" s="8">
        <v>498.68999999999994</v>
      </c>
      <c r="N521">
        <v>14</v>
      </c>
      <c r="O521" t="s">
        <v>122</v>
      </c>
      <c r="P521" t="s">
        <v>121</v>
      </c>
    </row>
    <row r="522" spans="1:16" x14ac:dyDescent="0.25">
      <c r="A522" s="10">
        <v>45306</v>
      </c>
      <c r="B522" s="1" t="s">
        <v>22</v>
      </c>
      <c r="C522" s="2">
        <v>3</v>
      </c>
      <c r="D522" s="1" t="s">
        <v>18</v>
      </c>
      <c r="E522" s="1" t="s">
        <v>13</v>
      </c>
      <c r="F522" s="3">
        <v>0</v>
      </c>
      <c r="G522" s="1" t="s">
        <v>24</v>
      </c>
      <c r="H522" s="1" t="s">
        <v>25</v>
      </c>
      <c r="I522" s="1" t="s">
        <v>26</v>
      </c>
      <c r="J522" s="7">
        <v>119</v>
      </c>
      <c r="K522" s="7">
        <v>139.21</v>
      </c>
      <c r="L522" s="8">
        <v>357</v>
      </c>
      <c r="M522" s="8">
        <v>417.63</v>
      </c>
      <c r="N522">
        <v>15</v>
      </c>
      <c r="O522" t="s">
        <v>122</v>
      </c>
      <c r="P522" t="s">
        <v>121</v>
      </c>
    </row>
    <row r="523" spans="1:16" x14ac:dyDescent="0.25">
      <c r="A523" s="10">
        <v>45306</v>
      </c>
      <c r="B523" s="1" t="s">
        <v>100</v>
      </c>
      <c r="C523" s="2">
        <v>5</v>
      </c>
      <c r="D523" s="1" t="s">
        <v>12</v>
      </c>
      <c r="E523" s="1" t="s">
        <v>23</v>
      </c>
      <c r="F523" s="3">
        <v>0.1</v>
      </c>
      <c r="G523" s="1" t="s">
        <v>101</v>
      </c>
      <c r="H523" s="1" t="s">
        <v>25</v>
      </c>
      <c r="I523" s="1" t="s">
        <v>26</v>
      </c>
      <c r="J523" s="7">
        <v>93</v>
      </c>
      <c r="K523" s="7">
        <v>96.14</v>
      </c>
      <c r="L523" s="8">
        <v>465</v>
      </c>
      <c r="M523" s="8">
        <v>480.7</v>
      </c>
      <c r="N523">
        <v>15</v>
      </c>
      <c r="O523" t="s">
        <v>122</v>
      </c>
      <c r="P523" t="s">
        <v>121</v>
      </c>
    </row>
    <row r="524" spans="1:16" x14ac:dyDescent="0.25">
      <c r="A524" s="10">
        <v>45306</v>
      </c>
      <c r="B524" s="1" t="s">
        <v>27</v>
      </c>
      <c r="C524" s="2">
        <v>4</v>
      </c>
      <c r="D524" s="1" t="s">
        <v>18</v>
      </c>
      <c r="E524" s="1" t="s">
        <v>23</v>
      </c>
      <c r="F524" s="3">
        <v>0</v>
      </c>
      <c r="G524" s="1" t="s">
        <v>28</v>
      </c>
      <c r="H524" s="1" t="s">
        <v>25</v>
      </c>
      <c r="I524" s="1" t="s">
        <v>26</v>
      </c>
      <c r="J524" s="7">
        <v>49</v>
      </c>
      <c r="K524" s="7">
        <v>54.04</v>
      </c>
      <c r="L524" s="8">
        <v>196</v>
      </c>
      <c r="M524" s="8">
        <v>216.16</v>
      </c>
      <c r="N524">
        <v>15</v>
      </c>
      <c r="O524" t="s">
        <v>122</v>
      </c>
      <c r="P524" t="s">
        <v>121</v>
      </c>
    </row>
    <row r="525" spans="1:16" x14ac:dyDescent="0.25">
      <c r="A525" s="10">
        <v>45306</v>
      </c>
      <c r="B525" s="1" t="s">
        <v>34</v>
      </c>
      <c r="C525" s="2">
        <v>6</v>
      </c>
      <c r="D525" s="1" t="s">
        <v>13</v>
      </c>
      <c r="E525" s="1" t="s">
        <v>13</v>
      </c>
      <c r="F525" s="3">
        <v>0</v>
      </c>
      <c r="G525" s="1" t="s">
        <v>35</v>
      </c>
      <c r="H525" s="1" t="s">
        <v>20</v>
      </c>
      <c r="I525" s="1" t="s">
        <v>16</v>
      </c>
      <c r="J525" s="7">
        <v>5</v>
      </c>
      <c r="K525" s="7">
        <v>5.82</v>
      </c>
      <c r="L525" s="8">
        <v>30</v>
      </c>
      <c r="M525" s="8">
        <v>34.92</v>
      </c>
      <c r="N525">
        <v>15</v>
      </c>
      <c r="O525" t="s">
        <v>122</v>
      </c>
      <c r="P525" t="s">
        <v>121</v>
      </c>
    </row>
    <row r="526" spans="1:16" x14ac:dyDescent="0.25">
      <c r="A526" s="10">
        <v>45307</v>
      </c>
      <c r="B526" s="1" t="s">
        <v>44</v>
      </c>
      <c r="C526" s="2">
        <v>1</v>
      </c>
      <c r="D526" s="1" t="s">
        <v>18</v>
      </c>
      <c r="E526" s="1" t="s">
        <v>23</v>
      </c>
      <c r="F526" s="3">
        <v>0</v>
      </c>
      <c r="G526" s="1" t="s">
        <v>45</v>
      </c>
      <c r="H526" s="1" t="s">
        <v>15</v>
      </c>
      <c r="I526" s="1" t="s">
        <v>38</v>
      </c>
      <c r="J526" s="7">
        <v>119</v>
      </c>
      <c r="K526" s="7">
        <v>139.33000000000001</v>
      </c>
      <c r="L526" s="8">
        <v>119</v>
      </c>
      <c r="M526" s="8">
        <v>139.33000000000001</v>
      </c>
      <c r="N526">
        <v>16</v>
      </c>
      <c r="O526" t="s">
        <v>122</v>
      </c>
      <c r="P526" t="s">
        <v>121</v>
      </c>
    </row>
    <row r="527" spans="1:16" x14ac:dyDescent="0.25">
      <c r="A527" s="10">
        <v>45307</v>
      </c>
      <c r="B527" s="1" t="s">
        <v>60</v>
      </c>
      <c r="C527" s="2">
        <v>8</v>
      </c>
      <c r="D527" s="1" t="s">
        <v>18</v>
      </c>
      <c r="E527" s="1" t="s">
        <v>13</v>
      </c>
      <c r="F527" s="3">
        <v>0</v>
      </c>
      <c r="G527" s="1" t="s">
        <v>61</v>
      </c>
      <c r="H527" s="1" t="s">
        <v>15</v>
      </c>
      <c r="I527" s="1" t="s">
        <v>26</v>
      </c>
      <c r="J527" s="7">
        <v>87</v>
      </c>
      <c r="K527" s="7">
        <v>94.08</v>
      </c>
      <c r="L527" s="8">
        <v>696</v>
      </c>
      <c r="M527" s="8">
        <v>752.64</v>
      </c>
      <c r="N527">
        <v>16</v>
      </c>
      <c r="O527" t="s">
        <v>122</v>
      </c>
      <c r="P527" t="s">
        <v>121</v>
      </c>
    </row>
    <row r="528" spans="1:16" x14ac:dyDescent="0.25">
      <c r="A528" s="10">
        <v>45307</v>
      </c>
      <c r="B528" s="1" t="s">
        <v>46</v>
      </c>
      <c r="C528" s="2">
        <v>5</v>
      </c>
      <c r="D528" s="1" t="s">
        <v>18</v>
      </c>
      <c r="E528" s="1" t="s">
        <v>13</v>
      </c>
      <c r="F528" s="3">
        <v>0</v>
      </c>
      <c r="G528" s="1" t="s">
        <v>47</v>
      </c>
      <c r="H528" s="1" t="s">
        <v>15</v>
      </c>
      <c r="I528" s="1" t="s">
        <v>16</v>
      </c>
      <c r="J528" s="7">
        <v>9</v>
      </c>
      <c r="K528" s="7">
        <v>10.52</v>
      </c>
      <c r="L528" s="8">
        <v>45</v>
      </c>
      <c r="M528" s="8">
        <v>52.599999999999994</v>
      </c>
      <c r="N528">
        <v>16</v>
      </c>
      <c r="O528" t="s">
        <v>122</v>
      </c>
      <c r="P528" t="s">
        <v>121</v>
      </c>
    </row>
    <row r="529" spans="1:16" x14ac:dyDescent="0.25">
      <c r="A529" s="10">
        <v>45308</v>
      </c>
      <c r="B529" s="1" t="s">
        <v>34</v>
      </c>
      <c r="C529" s="2">
        <v>7</v>
      </c>
      <c r="D529" s="1" t="s">
        <v>12</v>
      </c>
      <c r="E529" s="1" t="s">
        <v>23</v>
      </c>
      <c r="F529" s="3">
        <v>0.02</v>
      </c>
      <c r="G529" s="1" t="s">
        <v>35</v>
      </c>
      <c r="H529" s="1" t="s">
        <v>20</v>
      </c>
      <c r="I529" s="1" t="s">
        <v>16</v>
      </c>
      <c r="J529" s="7">
        <v>5</v>
      </c>
      <c r="K529" s="7">
        <v>5.5</v>
      </c>
      <c r="L529" s="8">
        <v>35</v>
      </c>
      <c r="M529" s="8">
        <v>38.5</v>
      </c>
      <c r="N529">
        <v>17</v>
      </c>
      <c r="O529" t="s">
        <v>122</v>
      </c>
      <c r="P529" t="s">
        <v>121</v>
      </c>
    </row>
    <row r="530" spans="1:16" x14ac:dyDescent="0.25">
      <c r="A530" s="10">
        <v>45308</v>
      </c>
      <c r="B530" s="1" t="s">
        <v>44</v>
      </c>
      <c r="C530" s="2">
        <v>11</v>
      </c>
      <c r="D530" s="1" t="s">
        <v>13</v>
      </c>
      <c r="E530" s="1" t="s">
        <v>23</v>
      </c>
      <c r="F530" s="3">
        <v>0</v>
      </c>
      <c r="G530" s="1" t="s">
        <v>45</v>
      </c>
      <c r="H530" s="1" t="s">
        <v>15</v>
      </c>
      <c r="I530" s="1" t="s">
        <v>38</v>
      </c>
      <c r="J530" s="7">
        <v>116</v>
      </c>
      <c r="K530" s="7">
        <v>126.83</v>
      </c>
      <c r="L530" s="8">
        <v>1276</v>
      </c>
      <c r="M530" s="8">
        <v>1395.1299999999999</v>
      </c>
      <c r="N530">
        <v>17</v>
      </c>
      <c r="O530" t="s">
        <v>122</v>
      </c>
      <c r="P530" t="s">
        <v>121</v>
      </c>
    </row>
    <row r="531" spans="1:16" x14ac:dyDescent="0.25">
      <c r="A531" s="10">
        <v>45308</v>
      </c>
      <c r="B531" s="1" t="s">
        <v>84</v>
      </c>
      <c r="C531" s="2">
        <v>9</v>
      </c>
      <c r="D531" s="1" t="s">
        <v>13</v>
      </c>
      <c r="E531" s="1" t="s">
        <v>23</v>
      </c>
      <c r="F531" s="3">
        <v>0</v>
      </c>
      <c r="G531" s="1" t="s">
        <v>85</v>
      </c>
      <c r="H531" s="1" t="s">
        <v>33</v>
      </c>
      <c r="I531" s="1" t="s">
        <v>38</v>
      </c>
      <c r="J531" s="7">
        <v>130</v>
      </c>
      <c r="K531" s="7">
        <v>149.54</v>
      </c>
      <c r="L531" s="8">
        <v>1170</v>
      </c>
      <c r="M531" s="8">
        <v>1345.86</v>
      </c>
      <c r="N531">
        <v>17</v>
      </c>
      <c r="O531" t="s">
        <v>122</v>
      </c>
      <c r="P531" t="s">
        <v>121</v>
      </c>
    </row>
    <row r="532" spans="1:16" x14ac:dyDescent="0.25">
      <c r="A532" s="10">
        <v>45308</v>
      </c>
      <c r="B532" s="1" t="s">
        <v>22</v>
      </c>
      <c r="C532" s="2">
        <v>7</v>
      </c>
      <c r="D532" s="1" t="s">
        <v>13</v>
      </c>
      <c r="E532" s="1" t="s">
        <v>13</v>
      </c>
      <c r="F532" s="3">
        <v>0</v>
      </c>
      <c r="G532" s="1" t="s">
        <v>24</v>
      </c>
      <c r="H532" s="1" t="s">
        <v>25</v>
      </c>
      <c r="I532" s="1" t="s">
        <v>26</v>
      </c>
      <c r="J532" s="7">
        <v>122</v>
      </c>
      <c r="K532" s="7">
        <v>136.03</v>
      </c>
      <c r="L532" s="8">
        <v>854</v>
      </c>
      <c r="M532" s="8">
        <v>952.21</v>
      </c>
      <c r="N532">
        <v>17</v>
      </c>
      <c r="O532" t="s">
        <v>122</v>
      </c>
      <c r="P532" t="s">
        <v>121</v>
      </c>
    </row>
    <row r="533" spans="1:16" x14ac:dyDescent="0.25">
      <c r="A533" s="10">
        <v>45308</v>
      </c>
      <c r="B533" s="1" t="s">
        <v>90</v>
      </c>
      <c r="C533" s="2">
        <v>4</v>
      </c>
      <c r="D533" s="1" t="s">
        <v>18</v>
      </c>
      <c r="E533" s="1" t="s">
        <v>23</v>
      </c>
      <c r="F533" s="3">
        <v>0</v>
      </c>
      <c r="G533" s="1" t="s">
        <v>91</v>
      </c>
      <c r="H533" s="1" t="s">
        <v>20</v>
      </c>
      <c r="I533" s="1" t="s">
        <v>26</v>
      </c>
      <c r="J533" s="7">
        <v>98</v>
      </c>
      <c r="K533" s="7">
        <v>114.66</v>
      </c>
      <c r="L533" s="8">
        <v>392</v>
      </c>
      <c r="M533" s="8">
        <v>458.64</v>
      </c>
      <c r="N533">
        <v>17</v>
      </c>
      <c r="O533" t="s">
        <v>122</v>
      </c>
      <c r="P533" t="s">
        <v>121</v>
      </c>
    </row>
    <row r="534" spans="1:16" x14ac:dyDescent="0.25">
      <c r="A534" s="10">
        <v>45308</v>
      </c>
      <c r="B534" s="1" t="s">
        <v>66</v>
      </c>
      <c r="C534" s="2">
        <v>12</v>
      </c>
      <c r="D534" s="1" t="s">
        <v>13</v>
      </c>
      <c r="E534" s="1" t="s">
        <v>13</v>
      </c>
      <c r="F534" s="3">
        <v>0.05</v>
      </c>
      <c r="G534" s="1" t="s">
        <v>67</v>
      </c>
      <c r="H534" s="1" t="s">
        <v>15</v>
      </c>
      <c r="I534" s="1" t="s">
        <v>21</v>
      </c>
      <c r="J534" s="7">
        <v>65</v>
      </c>
      <c r="K534" s="7">
        <v>67.69</v>
      </c>
      <c r="L534" s="8">
        <v>780</v>
      </c>
      <c r="M534" s="8">
        <v>812.28</v>
      </c>
      <c r="N534">
        <v>17</v>
      </c>
      <c r="O534" t="s">
        <v>122</v>
      </c>
      <c r="P534" t="s">
        <v>121</v>
      </c>
    </row>
    <row r="535" spans="1:16" x14ac:dyDescent="0.25">
      <c r="A535" s="10">
        <v>45309</v>
      </c>
      <c r="B535" s="1" t="s">
        <v>102</v>
      </c>
      <c r="C535" s="2">
        <v>2</v>
      </c>
      <c r="D535" s="1" t="s">
        <v>18</v>
      </c>
      <c r="E535" s="1" t="s">
        <v>23</v>
      </c>
      <c r="F535" s="3">
        <v>0</v>
      </c>
      <c r="G535" s="1" t="s">
        <v>103</v>
      </c>
      <c r="H535" s="1" t="s">
        <v>15</v>
      </c>
      <c r="I535" s="1" t="s">
        <v>38</v>
      </c>
      <c r="J535" s="7">
        <v>150</v>
      </c>
      <c r="K535" s="7">
        <v>170.65</v>
      </c>
      <c r="L535" s="8">
        <v>300</v>
      </c>
      <c r="M535" s="8">
        <v>341.3</v>
      </c>
      <c r="N535">
        <v>18</v>
      </c>
      <c r="O535" t="s">
        <v>122</v>
      </c>
      <c r="P535" t="s">
        <v>121</v>
      </c>
    </row>
    <row r="536" spans="1:16" x14ac:dyDescent="0.25">
      <c r="A536" s="10">
        <v>45310</v>
      </c>
      <c r="B536" s="1" t="s">
        <v>48</v>
      </c>
      <c r="C536" s="2">
        <v>8</v>
      </c>
      <c r="D536" s="1" t="s">
        <v>18</v>
      </c>
      <c r="E536" s="1" t="s">
        <v>23</v>
      </c>
      <c r="F536" s="3">
        <v>0</v>
      </c>
      <c r="G536" s="1" t="s">
        <v>49</v>
      </c>
      <c r="H536" s="1" t="s">
        <v>15</v>
      </c>
      <c r="I536" s="1" t="s">
        <v>26</v>
      </c>
      <c r="J536" s="7">
        <v>72</v>
      </c>
      <c r="K536" s="7">
        <v>80.08</v>
      </c>
      <c r="L536" s="8">
        <v>576</v>
      </c>
      <c r="M536" s="8">
        <v>640.64</v>
      </c>
      <c r="N536">
        <v>19</v>
      </c>
      <c r="O536" t="s">
        <v>122</v>
      </c>
      <c r="P536" t="s">
        <v>121</v>
      </c>
    </row>
    <row r="537" spans="1:16" x14ac:dyDescent="0.25">
      <c r="A537" s="10">
        <v>45310</v>
      </c>
      <c r="B537" s="1" t="s">
        <v>88</v>
      </c>
      <c r="C537" s="2">
        <v>11</v>
      </c>
      <c r="D537" s="1" t="s">
        <v>13</v>
      </c>
      <c r="E537" s="1" t="s">
        <v>23</v>
      </c>
      <c r="F537" s="3">
        <v>0</v>
      </c>
      <c r="G537" s="1" t="s">
        <v>89</v>
      </c>
      <c r="H537" s="1" t="s">
        <v>33</v>
      </c>
      <c r="I537" s="1" t="s">
        <v>26</v>
      </c>
      <c r="J537" s="7">
        <v>79</v>
      </c>
      <c r="K537" s="7">
        <v>90.82</v>
      </c>
      <c r="L537" s="8">
        <v>869</v>
      </c>
      <c r="M537" s="8">
        <v>999.02</v>
      </c>
      <c r="N537">
        <v>19</v>
      </c>
      <c r="O537" t="s">
        <v>122</v>
      </c>
      <c r="P537" t="s">
        <v>121</v>
      </c>
    </row>
    <row r="538" spans="1:16" x14ac:dyDescent="0.25">
      <c r="A538" s="10">
        <v>45311</v>
      </c>
      <c r="B538" s="1" t="s">
        <v>98</v>
      </c>
      <c r="C538" s="2">
        <v>9</v>
      </c>
      <c r="D538" s="1" t="s">
        <v>12</v>
      </c>
      <c r="E538" s="1" t="s">
        <v>13</v>
      </c>
      <c r="F538" s="3">
        <v>0</v>
      </c>
      <c r="G538" s="1" t="s">
        <v>99</v>
      </c>
      <c r="H538" s="1" t="s">
        <v>43</v>
      </c>
      <c r="I538" s="1" t="s">
        <v>21</v>
      </c>
      <c r="J538" s="7">
        <v>46</v>
      </c>
      <c r="K538" s="7">
        <v>50.12</v>
      </c>
      <c r="L538" s="8">
        <v>414</v>
      </c>
      <c r="M538" s="8">
        <v>451.08</v>
      </c>
      <c r="N538">
        <v>20</v>
      </c>
      <c r="O538" t="s">
        <v>122</v>
      </c>
      <c r="P538" t="s">
        <v>121</v>
      </c>
    </row>
    <row r="539" spans="1:16" x14ac:dyDescent="0.25">
      <c r="A539" s="10">
        <v>45312</v>
      </c>
      <c r="B539" s="1" t="s">
        <v>102</v>
      </c>
      <c r="C539" s="2">
        <v>2</v>
      </c>
      <c r="D539" s="1" t="s">
        <v>12</v>
      </c>
      <c r="E539" s="1" t="s">
        <v>13</v>
      </c>
      <c r="F539" s="3">
        <v>0.02</v>
      </c>
      <c r="G539" s="1" t="s">
        <v>103</v>
      </c>
      <c r="H539" s="1" t="s">
        <v>15</v>
      </c>
      <c r="I539" s="1" t="s">
        <v>38</v>
      </c>
      <c r="J539" s="7">
        <v>151</v>
      </c>
      <c r="K539" s="7">
        <v>169.78</v>
      </c>
      <c r="L539" s="8">
        <v>302</v>
      </c>
      <c r="M539" s="8">
        <v>339.56</v>
      </c>
      <c r="N539">
        <v>21</v>
      </c>
      <c r="O539" t="s">
        <v>122</v>
      </c>
      <c r="P539" t="s">
        <v>121</v>
      </c>
    </row>
    <row r="540" spans="1:16" x14ac:dyDescent="0.25">
      <c r="A540" s="10">
        <v>45312</v>
      </c>
      <c r="B540" s="1" t="s">
        <v>31</v>
      </c>
      <c r="C540" s="2">
        <v>10</v>
      </c>
      <c r="D540" s="1" t="s">
        <v>18</v>
      </c>
      <c r="E540" s="1" t="s">
        <v>23</v>
      </c>
      <c r="F540" s="3">
        <v>0</v>
      </c>
      <c r="G540" s="1" t="s">
        <v>32</v>
      </c>
      <c r="H540" s="1" t="s">
        <v>33</v>
      </c>
      <c r="I540" s="1" t="s">
        <v>21</v>
      </c>
      <c r="J540" s="7">
        <v>69</v>
      </c>
      <c r="K540" s="7">
        <v>76.09</v>
      </c>
      <c r="L540" s="8">
        <v>690</v>
      </c>
      <c r="M540" s="8">
        <v>760.90000000000009</v>
      </c>
      <c r="N540">
        <v>21</v>
      </c>
      <c r="O540" t="s">
        <v>122</v>
      </c>
      <c r="P540" t="s">
        <v>121</v>
      </c>
    </row>
    <row r="541" spans="1:16" x14ac:dyDescent="0.25">
      <c r="A541" s="10">
        <v>45312</v>
      </c>
      <c r="B541" s="1" t="s">
        <v>84</v>
      </c>
      <c r="C541" s="2">
        <v>6</v>
      </c>
      <c r="D541" s="1" t="s">
        <v>18</v>
      </c>
      <c r="E541" s="1" t="s">
        <v>13</v>
      </c>
      <c r="F541" s="3">
        <v>0</v>
      </c>
      <c r="G541" s="1" t="s">
        <v>85</v>
      </c>
      <c r="H541" s="1" t="s">
        <v>33</v>
      </c>
      <c r="I541" s="1" t="s">
        <v>38</v>
      </c>
      <c r="J541" s="7">
        <v>125</v>
      </c>
      <c r="K541" s="7">
        <v>141.22</v>
      </c>
      <c r="L541" s="8">
        <v>750</v>
      </c>
      <c r="M541" s="8">
        <v>847.31999999999994</v>
      </c>
      <c r="N541">
        <v>21</v>
      </c>
      <c r="O541" t="s">
        <v>122</v>
      </c>
      <c r="P541" t="s">
        <v>121</v>
      </c>
    </row>
    <row r="542" spans="1:16" x14ac:dyDescent="0.25">
      <c r="A542" s="10">
        <v>45314</v>
      </c>
      <c r="B542" s="1" t="s">
        <v>74</v>
      </c>
      <c r="C542" s="2">
        <v>1</v>
      </c>
      <c r="D542" s="1" t="s">
        <v>13</v>
      </c>
      <c r="E542" s="1" t="s">
        <v>23</v>
      </c>
      <c r="F542" s="3">
        <v>0</v>
      </c>
      <c r="G542" s="1" t="s">
        <v>75</v>
      </c>
      <c r="H542" s="1" t="s">
        <v>20</v>
      </c>
      <c r="I542" s="1" t="s">
        <v>21</v>
      </c>
      <c r="J542" s="7">
        <v>50</v>
      </c>
      <c r="K542" s="7">
        <v>58.65</v>
      </c>
      <c r="L542" s="8">
        <v>50</v>
      </c>
      <c r="M542" s="8">
        <v>58.65</v>
      </c>
      <c r="N542">
        <v>23</v>
      </c>
      <c r="O542" t="s">
        <v>122</v>
      </c>
      <c r="P542" t="s">
        <v>121</v>
      </c>
    </row>
    <row r="543" spans="1:16" x14ac:dyDescent="0.25">
      <c r="A543" s="10">
        <v>45314</v>
      </c>
      <c r="B543" s="1" t="s">
        <v>54</v>
      </c>
      <c r="C543" s="2">
        <v>2</v>
      </c>
      <c r="D543" s="1" t="s">
        <v>13</v>
      </c>
      <c r="E543" s="1" t="s">
        <v>13</v>
      </c>
      <c r="F543" s="3">
        <v>0</v>
      </c>
      <c r="G543" s="1" t="s">
        <v>55</v>
      </c>
      <c r="H543" s="1" t="s">
        <v>43</v>
      </c>
      <c r="I543" s="1" t="s">
        <v>26</v>
      </c>
      <c r="J543" s="7">
        <v>76</v>
      </c>
      <c r="K543" s="7">
        <v>83.46</v>
      </c>
      <c r="L543" s="8">
        <v>152</v>
      </c>
      <c r="M543" s="8">
        <v>166.92</v>
      </c>
      <c r="N543">
        <v>23</v>
      </c>
      <c r="O543" t="s">
        <v>122</v>
      </c>
      <c r="P543" t="s">
        <v>121</v>
      </c>
    </row>
    <row r="544" spans="1:16" x14ac:dyDescent="0.25">
      <c r="A544" s="10">
        <v>45314</v>
      </c>
      <c r="B544" s="1" t="s">
        <v>27</v>
      </c>
      <c r="C544" s="2">
        <v>4</v>
      </c>
      <c r="D544" s="1" t="s">
        <v>12</v>
      </c>
      <c r="E544" s="1" t="s">
        <v>23</v>
      </c>
      <c r="F544" s="3">
        <v>0.05</v>
      </c>
      <c r="G544" s="1" t="s">
        <v>28</v>
      </c>
      <c r="H544" s="1" t="s">
        <v>25</v>
      </c>
      <c r="I544" s="1" t="s">
        <v>26</v>
      </c>
      <c r="J544" s="7">
        <v>49</v>
      </c>
      <c r="K544" s="7">
        <v>53.77</v>
      </c>
      <c r="L544" s="8">
        <v>196</v>
      </c>
      <c r="M544" s="8">
        <v>215.08</v>
      </c>
      <c r="N544">
        <v>23</v>
      </c>
      <c r="O544" t="s">
        <v>122</v>
      </c>
      <c r="P544" t="s">
        <v>121</v>
      </c>
    </row>
    <row r="545" spans="1:16" x14ac:dyDescent="0.25">
      <c r="A545" s="10">
        <v>45314</v>
      </c>
      <c r="B545" s="1" t="s">
        <v>31</v>
      </c>
      <c r="C545" s="2">
        <v>10</v>
      </c>
      <c r="D545" s="1" t="s">
        <v>18</v>
      </c>
      <c r="E545" s="1" t="s">
        <v>23</v>
      </c>
      <c r="F545" s="3">
        <v>0</v>
      </c>
      <c r="G545" s="1" t="s">
        <v>32</v>
      </c>
      <c r="H545" s="1" t="s">
        <v>33</v>
      </c>
      <c r="I545" s="1" t="s">
        <v>21</v>
      </c>
      <c r="J545" s="7">
        <v>66</v>
      </c>
      <c r="K545" s="7">
        <v>75.16</v>
      </c>
      <c r="L545" s="8">
        <v>660</v>
      </c>
      <c r="M545" s="8">
        <v>751.59999999999991</v>
      </c>
      <c r="N545">
        <v>23</v>
      </c>
      <c r="O545" t="s">
        <v>122</v>
      </c>
      <c r="P545" t="s">
        <v>121</v>
      </c>
    </row>
    <row r="546" spans="1:16" x14ac:dyDescent="0.25">
      <c r="A546" s="10">
        <v>45314</v>
      </c>
      <c r="B546" s="1" t="s">
        <v>50</v>
      </c>
      <c r="C546" s="2">
        <v>15</v>
      </c>
      <c r="D546" s="1" t="s">
        <v>13</v>
      </c>
      <c r="E546" s="1" t="s">
        <v>23</v>
      </c>
      <c r="F546" s="3">
        <v>0</v>
      </c>
      <c r="G546" s="1" t="s">
        <v>51</v>
      </c>
      <c r="H546" s="1" t="s">
        <v>33</v>
      </c>
      <c r="I546" s="1" t="s">
        <v>26</v>
      </c>
      <c r="J546" s="7">
        <v>108</v>
      </c>
      <c r="K546" s="7">
        <v>127.22</v>
      </c>
      <c r="L546" s="8">
        <v>1620</v>
      </c>
      <c r="M546" s="8">
        <v>1908.3</v>
      </c>
      <c r="N546">
        <v>23</v>
      </c>
      <c r="O546" t="s">
        <v>122</v>
      </c>
      <c r="P546" t="s">
        <v>121</v>
      </c>
    </row>
    <row r="547" spans="1:16" x14ac:dyDescent="0.25">
      <c r="A547" s="10">
        <v>45316</v>
      </c>
      <c r="B547" s="1" t="s">
        <v>64</v>
      </c>
      <c r="C547" s="2">
        <v>4</v>
      </c>
      <c r="D547" s="1" t="s">
        <v>13</v>
      </c>
      <c r="E547" s="1" t="s">
        <v>13</v>
      </c>
      <c r="F547" s="3">
        <v>0</v>
      </c>
      <c r="G547" s="1" t="s">
        <v>65</v>
      </c>
      <c r="H547" s="1" t="s">
        <v>25</v>
      </c>
      <c r="I547" s="1" t="s">
        <v>26</v>
      </c>
      <c r="J547" s="7">
        <v>64</v>
      </c>
      <c r="K547" s="7">
        <v>70.14</v>
      </c>
      <c r="L547" s="8">
        <v>256</v>
      </c>
      <c r="M547" s="8">
        <v>280.56</v>
      </c>
      <c r="N547">
        <v>25</v>
      </c>
      <c r="O547" t="s">
        <v>122</v>
      </c>
      <c r="P547" t="s">
        <v>121</v>
      </c>
    </row>
    <row r="548" spans="1:16" x14ac:dyDescent="0.25">
      <c r="A548" s="10">
        <v>45319</v>
      </c>
      <c r="B548" s="1" t="s">
        <v>17</v>
      </c>
      <c r="C548" s="2">
        <v>13</v>
      </c>
      <c r="D548" s="1" t="s">
        <v>18</v>
      </c>
      <c r="E548" s="1" t="s">
        <v>13</v>
      </c>
      <c r="F548" s="3">
        <v>0.05</v>
      </c>
      <c r="G548" s="1" t="s">
        <v>19</v>
      </c>
      <c r="H548" s="1" t="s">
        <v>20</v>
      </c>
      <c r="I548" s="1" t="s">
        <v>21</v>
      </c>
      <c r="J548" s="7">
        <v>52</v>
      </c>
      <c r="K548" s="7">
        <v>54.45</v>
      </c>
      <c r="L548" s="8">
        <v>676</v>
      </c>
      <c r="M548" s="8">
        <v>707.85</v>
      </c>
      <c r="N548">
        <v>28</v>
      </c>
      <c r="O548" t="s">
        <v>122</v>
      </c>
      <c r="P548" t="s">
        <v>121</v>
      </c>
    </row>
    <row r="549" spans="1:16" x14ac:dyDescent="0.25">
      <c r="A549" s="10">
        <v>45319</v>
      </c>
      <c r="B549" s="1" t="s">
        <v>104</v>
      </c>
      <c r="C549" s="2">
        <v>15</v>
      </c>
      <c r="D549" s="1" t="s">
        <v>13</v>
      </c>
      <c r="E549" s="1" t="s">
        <v>23</v>
      </c>
      <c r="F549" s="3">
        <v>0.05</v>
      </c>
      <c r="G549" s="1" t="s">
        <v>105</v>
      </c>
      <c r="H549" s="1" t="s">
        <v>33</v>
      </c>
      <c r="I549" s="1" t="s">
        <v>26</v>
      </c>
      <c r="J549" s="7">
        <v>96</v>
      </c>
      <c r="K549" s="7">
        <v>106.54</v>
      </c>
      <c r="L549" s="8">
        <v>1440</v>
      </c>
      <c r="M549" s="8">
        <v>1598.1000000000001</v>
      </c>
      <c r="N549">
        <v>28</v>
      </c>
      <c r="O549" t="s">
        <v>122</v>
      </c>
      <c r="P549" t="s">
        <v>121</v>
      </c>
    </row>
    <row r="550" spans="1:16" x14ac:dyDescent="0.25">
      <c r="A550" s="10">
        <v>45319</v>
      </c>
      <c r="B550" s="1" t="s">
        <v>96</v>
      </c>
      <c r="C550" s="2">
        <v>14</v>
      </c>
      <c r="D550" s="1" t="s">
        <v>13</v>
      </c>
      <c r="E550" s="1" t="s">
        <v>23</v>
      </c>
      <c r="F550" s="3">
        <v>0</v>
      </c>
      <c r="G550" s="1" t="s">
        <v>97</v>
      </c>
      <c r="H550" s="1" t="s">
        <v>20</v>
      </c>
      <c r="I550" s="1" t="s">
        <v>21</v>
      </c>
      <c r="J550" s="7">
        <v>58</v>
      </c>
      <c r="K550" s="7">
        <v>67.62</v>
      </c>
      <c r="L550" s="8">
        <v>812</v>
      </c>
      <c r="M550" s="8">
        <v>946.68000000000006</v>
      </c>
      <c r="N550">
        <v>28</v>
      </c>
      <c r="O550" t="s">
        <v>122</v>
      </c>
      <c r="P550" t="s">
        <v>121</v>
      </c>
    </row>
    <row r="551" spans="1:16" x14ac:dyDescent="0.25">
      <c r="A551" s="10">
        <v>45321</v>
      </c>
      <c r="B551" s="1" t="s">
        <v>46</v>
      </c>
      <c r="C551" s="2">
        <v>6</v>
      </c>
      <c r="D551" s="1" t="s">
        <v>18</v>
      </c>
      <c r="E551" s="1" t="s">
        <v>13</v>
      </c>
      <c r="F551" s="3">
        <v>0</v>
      </c>
      <c r="G551" s="1" t="s">
        <v>47</v>
      </c>
      <c r="H551" s="1" t="s">
        <v>15</v>
      </c>
      <c r="I551" s="1" t="s">
        <v>16</v>
      </c>
      <c r="J551" s="7">
        <v>9</v>
      </c>
      <c r="K551" s="7">
        <v>9.7799999999999994</v>
      </c>
      <c r="L551" s="8">
        <v>54</v>
      </c>
      <c r="M551" s="8">
        <v>58.679999999999993</v>
      </c>
      <c r="N551">
        <v>30</v>
      </c>
      <c r="O551" t="s">
        <v>122</v>
      </c>
      <c r="P551" t="s">
        <v>121</v>
      </c>
    </row>
    <row r="552" spans="1:16" x14ac:dyDescent="0.25">
      <c r="A552" s="10">
        <v>45321</v>
      </c>
      <c r="B552" s="1" t="s">
        <v>112</v>
      </c>
      <c r="C552" s="2">
        <v>9</v>
      </c>
      <c r="D552" s="1" t="s">
        <v>13</v>
      </c>
      <c r="E552" s="1" t="s">
        <v>13</v>
      </c>
      <c r="F552" s="3">
        <v>0</v>
      </c>
      <c r="G552" s="1" t="s">
        <v>113</v>
      </c>
      <c r="H552" s="1" t="s">
        <v>20</v>
      </c>
      <c r="I552" s="1" t="s">
        <v>16</v>
      </c>
      <c r="J552" s="7">
        <v>9</v>
      </c>
      <c r="K552" s="7">
        <v>10.23</v>
      </c>
      <c r="L552" s="8">
        <v>81</v>
      </c>
      <c r="M552" s="8">
        <v>92.070000000000007</v>
      </c>
      <c r="N552">
        <v>30</v>
      </c>
      <c r="O552" t="s">
        <v>122</v>
      </c>
      <c r="P552" t="s">
        <v>121</v>
      </c>
    </row>
    <row r="553" spans="1:16" x14ac:dyDescent="0.25">
      <c r="A553" s="10">
        <v>45323</v>
      </c>
      <c r="B553" s="1" t="s">
        <v>108</v>
      </c>
      <c r="C553" s="2">
        <v>6</v>
      </c>
      <c r="D553" s="1" t="s">
        <v>18</v>
      </c>
      <c r="E553" s="1" t="s">
        <v>23</v>
      </c>
      <c r="F553" s="3">
        <v>0</v>
      </c>
      <c r="G553" s="1" t="s">
        <v>109</v>
      </c>
      <c r="H553" s="1" t="s">
        <v>43</v>
      </c>
      <c r="I553" s="1" t="s">
        <v>26</v>
      </c>
      <c r="J553" s="7">
        <v>69</v>
      </c>
      <c r="K553" s="7">
        <v>80.040000000000006</v>
      </c>
      <c r="L553" s="8">
        <v>414</v>
      </c>
      <c r="M553" s="8">
        <v>480.24</v>
      </c>
      <c r="N553">
        <v>1</v>
      </c>
      <c r="O553" t="s">
        <v>123</v>
      </c>
      <c r="P553" t="s">
        <v>121</v>
      </c>
    </row>
    <row r="554" spans="1:16" x14ac:dyDescent="0.25">
      <c r="A554" s="10">
        <v>45324</v>
      </c>
      <c r="B554" s="1" t="s">
        <v>48</v>
      </c>
      <c r="C554" s="2">
        <v>4</v>
      </c>
      <c r="D554" s="1" t="s">
        <v>18</v>
      </c>
      <c r="E554" s="1" t="s">
        <v>13</v>
      </c>
      <c r="F554" s="3">
        <v>0</v>
      </c>
      <c r="G554" s="1" t="s">
        <v>49</v>
      </c>
      <c r="H554" s="1" t="s">
        <v>15</v>
      </c>
      <c r="I554" s="1" t="s">
        <v>26</v>
      </c>
      <c r="J554" s="7">
        <v>70</v>
      </c>
      <c r="K554" s="7">
        <v>76.67</v>
      </c>
      <c r="L554" s="8">
        <v>280</v>
      </c>
      <c r="M554" s="8">
        <v>306.68</v>
      </c>
      <c r="N554">
        <v>2</v>
      </c>
      <c r="O554" t="s">
        <v>123</v>
      </c>
      <c r="P554" t="s">
        <v>121</v>
      </c>
    </row>
    <row r="555" spans="1:16" x14ac:dyDescent="0.25">
      <c r="A555" s="10">
        <v>45325</v>
      </c>
      <c r="B555" s="1" t="s">
        <v>66</v>
      </c>
      <c r="C555" s="2">
        <v>1</v>
      </c>
      <c r="D555" s="1" t="s">
        <v>13</v>
      </c>
      <c r="E555" s="1" t="s">
        <v>13</v>
      </c>
      <c r="F555" s="3">
        <v>0</v>
      </c>
      <c r="G555" s="1" t="s">
        <v>67</v>
      </c>
      <c r="H555" s="1" t="s">
        <v>15</v>
      </c>
      <c r="I555" s="1" t="s">
        <v>21</v>
      </c>
      <c r="J555" s="7">
        <v>64</v>
      </c>
      <c r="K555" s="7">
        <v>71.2</v>
      </c>
      <c r="L555" s="8">
        <v>64</v>
      </c>
      <c r="M555" s="8">
        <v>71.2</v>
      </c>
      <c r="N555">
        <v>3</v>
      </c>
      <c r="O555" t="s">
        <v>123</v>
      </c>
      <c r="P555" t="s">
        <v>121</v>
      </c>
    </row>
    <row r="556" spans="1:16" x14ac:dyDescent="0.25">
      <c r="A556" s="10">
        <v>45325</v>
      </c>
      <c r="B556" s="1" t="s">
        <v>92</v>
      </c>
      <c r="C556" s="2">
        <v>13</v>
      </c>
      <c r="D556" s="1" t="s">
        <v>12</v>
      </c>
      <c r="E556" s="1" t="s">
        <v>13</v>
      </c>
      <c r="F556" s="3">
        <v>0</v>
      </c>
      <c r="G556" s="1" t="s">
        <v>93</v>
      </c>
      <c r="H556" s="1" t="s">
        <v>33</v>
      </c>
      <c r="I556" s="1" t="s">
        <v>26</v>
      </c>
      <c r="J556" s="7">
        <v>74</v>
      </c>
      <c r="K556" s="7">
        <v>81.34</v>
      </c>
      <c r="L556" s="8">
        <v>962</v>
      </c>
      <c r="M556" s="8">
        <v>1057.42</v>
      </c>
      <c r="N556">
        <v>3</v>
      </c>
      <c r="O556" t="s">
        <v>123</v>
      </c>
      <c r="P556" t="s">
        <v>121</v>
      </c>
    </row>
    <row r="557" spans="1:16" x14ac:dyDescent="0.25">
      <c r="A557" s="10">
        <v>45327</v>
      </c>
      <c r="B557" s="1" t="s">
        <v>31</v>
      </c>
      <c r="C557" s="2">
        <v>13</v>
      </c>
      <c r="D557" s="1" t="s">
        <v>13</v>
      </c>
      <c r="E557" s="1" t="s">
        <v>13</v>
      </c>
      <c r="F557" s="3">
        <v>0</v>
      </c>
      <c r="G557" s="1" t="s">
        <v>32</v>
      </c>
      <c r="H557" s="1" t="s">
        <v>33</v>
      </c>
      <c r="I557" s="1" t="s">
        <v>21</v>
      </c>
      <c r="J557" s="7">
        <v>69</v>
      </c>
      <c r="K557" s="7">
        <v>75.58</v>
      </c>
      <c r="L557" s="8">
        <v>897</v>
      </c>
      <c r="M557" s="8">
        <v>982.54</v>
      </c>
      <c r="N557">
        <v>5</v>
      </c>
      <c r="O557" t="s">
        <v>123</v>
      </c>
      <c r="P557" t="s">
        <v>121</v>
      </c>
    </row>
    <row r="558" spans="1:16" x14ac:dyDescent="0.25">
      <c r="A558" s="10">
        <v>45329</v>
      </c>
      <c r="B558" s="1" t="s">
        <v>96</v>
      </c>
      <c r="C558" s="2">
        <v>15</v>
      </c>
      <c r="D558" s="1" t="s">
        <v>18</v>
      </c>
      <c r="E558" s="1" t="s">
        <v>13</v>
      </c>
      <c r="F558" s="3">
        <v>0</v>
      </c>
      <c r="G558" s="1" t="s">
        <v>97</v>
      </c>
      <c r="H558" s="1" t="s">
        <v>20</v>
      </c>
      <c r="I558" s="1" t="s">
        <v>21</v>
      </c>
      <c r="J558" s="7">
        <v>58</v>
      </c>
      <c r="K558" s="7">
        <v>67.459999999999994</v>
      </c>
      <c r="L558" s="8">
        <v>870</v>
      </c>
      <c r="M558" s="8">
        <v>1011.8999999999999</v>
      </c>
      <c r="N558">
        <v>7</v>
      </c>
      <c r="O558" t="s">
        <v>123</v>
      </c>
      <c r="P558" t="s">
        <v>121</v>
      </c>
    </row>
    <row r="559" spans="1:16" x14ac:dyDescent="0.25">
      <c r="A559" s="10">
        <v>45330</v>
      </c>
      <c r="B559" s="1" t="s">
        <v>31</v>
      </c>
      <c r="C559" s="2">
        <v>14</v>
      </c>
      <c r="D559" s="1" t="s">
        <v>12</v>
      </c>
      <c r="E559" s="1" t="s">
        <v>13</v>
      </c>
      <c r="F559" s="3">
        <v>0</v>
      </c>
      <c r="G559" s="1" t="s">
        <v>32</v>
      </c>
      <c r="H559" s="1" t="s">
        <v>33</v>
      </c>
      <c r="I559" s="1" t="s">
        <v>21</v>
      </c>
      <c r="J559" s="7">
        <v>69</v>
      </c>
      <c r="K559" s="7">
        <v>75.48</v>
      </c>
      <c r="L559" s="8">
        <v>966</v>
      </c>
      <c r="M559" s="8">
        <v>1056.72</v>
      </c>
      <c r="N559">
        <v>8</v>
      </c>
      <c r="O559" t="s">
        <v>123</v>
      </c>
      <c r="P559" t="s">
        <v>121</v>
      </c>
    </row>
    <row r="560" spans="1:16" x14ac:dyDescent="0.25">
      <c r="A560" s="10">
        <v>45330</v>
      </c>
      <c r="B560" s="1" t="s">
        <v>76</v>
      </c>
      <c r="C560" s="2">
        <v>2</v>
      </c>
      <c r="D560" s="1" t="s">
        <v>18</v>
      </c>
      <c r="E560" s="1" t="s">
        <v>23</v>
      </c>
      <c r="F560" s="3">
        <v>0</v>
      </c>
      <c r="G560" s="1" t="s">
        <v>77</v>
      </c>
      <c r="H560" s="1" t="s">
        <v>25</v>
      </c>
      <c r="I560" s="1" t="s">
        <v>26</v>
      </c>
      <c r="J560" s="7">
        <v>115</v>
      </c>
      <c r="K560" s="7">
        <v>125.61</v>
      </c>
      <c r="L560" s="8">
        <v>230</v>
      </c>
      <c r="M560" s="8">
        <v>251.22</v>
      </c>
      <c r="N560">
        <v>8</v>
      </c>
      <c r="O560" t="s">
        <v>123</v>
      </c>
      <c r="P560" t="s">
        <v>121</v>
      </c>
    </row>
    <row r="561" spans="1:16" x14ac:dyDescent="0.25">
      <c r="A561" s="10">
        <v>45330</v>
      </c>
      <c r="B561" s="1" t="s">
        <v>84</v>
      </c>
      <c r="C561" s="2">
        <v>13</v>
      </c>
      <c r="D561" s="1" t="s">
        <v>18</v>
      </c>
      <c r="E561" s="1" t="s">
        <v>13</v>
      </c>
      <c r="F561" s="3">
        <v>0</v>
      </c>
      <c r="G561" s="1" t="s">
        <v>85</v>
      </c>
      <c r="H561" s="1" t="s">
        <v>33</v>
      </c>
      <c r="I561" s="1" t="s">
        <v>38</v>
      </c>
      <c r="J561" s="7">
        <v>132</v>
      </c>
      <c r="K561" s="7">
        <v>148.31</v>
      </c>
      <c r="L561" s="8">
        <v>1716</v>
      </c>
      <c r="M561" s="8">
        <v>1928.03</v>
      </c>
      <c r="N561">
        <v>8</v>
      </c>
      <c r="O561" t="s">
        <v>123</v>
      </c>
      <c r="P561" t="s">
        <v>121</v>
      </c>
    </row>
    <row r="562" spans="1:16" x14ac:dyDescent="0.25">
      <c r="A562" s="10">
        <v>45332</v>
      </c>
      <c r="B562" s="1" t="s">
        <v>44</v>
      </c>
      <c r="C562" s="2">
        <v>3</v>
      </c>
      <c r="D562" s="1" t="s">
        <v>18</v>
      </c>
      <c r="E562" s="1" t="s">
        <v>13</v>
      </c>
      <c r="F562" s="3">
        <v>0.05</v>
      </c>
      <c r="G562" s="1" t="s">
        <v>45</v>
      </c>
      <c r="H562" s="1" t="s">
        <v>15</v>
      </c>
      <c r="I562" s="1" t="s">
        <v>38</v>
      </c>
      <c r="J562" s="7">
        <v>116</v>
      </c>
      <c r="K562" s="7">
        <v>127.12</v>
      </c>
      <c r="L562" s="8">
        <v>348</v>
      </c>
      <c r="M562" s="8">
        <v>381.36</v>
      </c>
      <c r="N562">
        <v>10</v>
      </c>
      <c r="O562" t="s">
        <v>123</v>
      </c>
      <c r="P562" t="s">
        <v>121</v>
      </c>
    </row>
    <row r="563" spans="1:16" x14ac:dyDescent="0.25">
      <c r="A563" s="10">
        <v>45333</v>
      </c>
      <c r="B563" s="1" t="s">
        <v>82</v>
      </c>
      <c r="C563" s="2">
        <v>9</v>
      </c>
      <c r="D563" s="1" t="s">
        <v>13</v>
      </c>
      <c r="E563" s="1" t="s">
        <v>13</v>
      </c>
      <c r="F563" s="3">
        <v>0</v>
      </c>
      <c r="G563" s="1" t="s">
        <v>83</v>
      </c>
      <c r="H563" s="1" t="s">
        <v>33</v>
      </c>
      <c r="I563" s="1" t="s">
        <v>16</v>
      </c>
      <c r="J563" s="7">
        <v>11</v>
      </c>
      <c r="K563" s="7">
        <v>12.79</v>
      </c>
      <c r="L563" s="8">
        <v>99</v>
      </c>
      <c r="M563" s="8">
        <v>115.10999999999999</v>
      </c>
      <c r="N563">
        <v>11</v>
      </c>
      <c r="O563" t="s">
        <v>123</v>
      </c>
      <c r="P563" t="s">
        <v>121</v>
      </c>
    </row>
    <row r="564" spans="1:16" x14ac:dyDescent="0.25">
      <c r="A564" s="10">
        <v>45334</v>
      </c>
      <c r="B564" s="1" t="s">
        <v>92</v>
      </c>
      <c r="C564" s="2">
        <v>2</v>
      </c>
      <c r="D564" s="1" t="s">
        <v>13</v>
      </c>
      <c r="E564" s="1" t="s">
        <v>23</v>
      </c>
      <c r="F564" s="3">
        <v>0</v>
      </c>
      <c r="G564" s="1" t="s">
        <v>93</v>
      </c>
      <c r="H564" s="1" t="s">
        <v>33</v>
      </c>
      <c r="I564" s="1" t="s">
        <v>26</v>
      </c>
      <c r="J564" s="7">
        <v>79</v>
      </c>
      <c r="K564" s="7">
        <v>86.17</v>
      </c>
      <c r="L564" s="8">
        <v>158</v>
      </c>
      <c r="M564" s="8">
        <v>172.34</v>
      </c>
      <c r="N564">
        <v>12</v>
      </c>
      <c r="O564" t="s">
        <v>123</v>
      </c>
      <c r="P564" t="s">
        <v>121</v>
      </c>
    </row>
    <row r="565" spans="1:16" x14ac:dyDescent="0.25">
      <c r="A565" s="10">
        <v>45335</v>
      </c>
      <c r="B565" s="1" t="s">
        <v>82</v>
      </c>
      <c r="C565" s="2">
        <v>1</v>
      </c>
      <c r="D565" s="1" t="s">
        <v>12</v>
      </c>
      <c r="E565" s="1" t="s">
        <v>23</v>
      </c>
      <c r="F565" s="3">
        <v>0.08</v>
      </c>
      <c r="G565" s="1" t="s">
        <v>83</v>
      </c>
      <c r="H565" s="1" t="s">
        <v>33</v>
      </c>
      <c r="I565" s="1" t="s">
        <v>16</v>
      </c>
      <c r="J565" s="7">
        <v>12</v>
      </c>
      <c r="K565" s="7">
        <v>12.22</v>
      </c>
      <c r="L565" s="8">
        <v>12</v>
      </c>
      <c r="M565" s="8">
        <v>12.22</v>
      </c>
      <c r="N565">
        <v>13</v>
      </c>
      <c r="O565" t="s">
        <v>123</v>
      </c>
      <c r="P565" t="s">
        <v>121</v>
      </c>
    </row>
    <row r="566" spans="1:16" x14ac:dyDescent="0.25">
      <c r="A566" s="10">
        <v>45335</v>
      </c>
      <c r="B566" s="1" t="s">
        <v>29</v>
      </c>
      <c r="C566" s="2">
        <v>11</v>
      </c>
      <c r="D566" s="1" t="s">
        <v>13</v>
      </c>
      <c r="E566" s="1" t="s">
        <v>13</v>
      </c>
      <c r="F566" s="3">
        <v>0</v>
      </c>
      <c r="G566" s="1" t="s">
        <v>30</v>
      </c>
      <c r="H566" s="1" t="s">
        <v>15</v>
      </c>
      <c r="I566" s="1" t="s">
        <v>16</v>
      </c>
      <c r="J566" s="7">
        <v>13</v>
      </c>
      <c r="K566" s="7">
        <v>14.12</v>
      </c>
      <c r="L566" s="8">
        <v>143</v>
      </c>
      <c r="M566" s="8">
        <v>155.32</v>
      </c>
      <c r="N566">
        <v>13</v>
      </c>
      <c r="O566" t="s">
        <v>123</v>
      </c>
      <c r="P566" t="s">
        <v>121</v>
      </c>
    </row>
    <row r="567" spans="1:16" x14ac:dyDescent="0.25">
      <c r="A567" s="10">
        <v>45335</v>
      </c>
      <c r="B567" s="1" t="s">
        <v>90</v>
      </c>
      <c r="C567" s="2">
        <v>5</v>
      </c>
      <c r="D567" s="1" t="s">
        <v>18</v>
      </c>
      <c r="E567" s="1" t="s">
        <v>13</v>
      </c>
      <c r="F567" s="3">
        <v>0</v>
      </c>
      <c r="G567" s="1" t="s">
        <v>91</v>
      </c>
      <c r="H567" s="1" t="s">
        <v>20</v>
      </c>
      <c r="I567" s="1" t="s">
        <v>26</v>
      </c>
      <c r="J567" s="7">
        <v>93</v>
      </c>
      <c r="K567" s="7">
        <v>105.41</v>
      </c>
      <c r="L567" s="8">
        <v>465</v>
      </c>
      <c r="M567" s="8">
        <v>527.04999999999995</v>
      </c>
      <c r="N567">
        <v>13</v>
      </c>
      <c r="O567" t="s">
        <v>123</v>
      </c>
      <c r="P567" t="s">
        <v>121</v>
      </c>
    </row>
    <row r="568" spans="1:16" x14ac:dyDescent="0.25">
      <c r="A568" s="10">
        <v>45336</v>
      </c>
      <c r="B568" s="1" t="s">
        <v>82</v>
      </c>
      <c r="C568" s="2">
        <v>3</v>
      </c>
      <c r="D568" s="1" t="s">
        <v>12</v>
      </c>
      <c r="E568" s="1" t="s">
        <v>13</v>
      </c>
      <c r="F568" s="3">
        <v>0.08</v>
      </c>
      <c r="G568" s="1" t="s">
        <v>83</v>
      </c>
      <c r="H568" s="1" t="s">
        <v>33</v>
      </c>
      <c r="I568" s="1" t="s">
        <v>16</v>
      </c>
      <c r="J568" s="7">
        <v>11</v>
      </c>
      <c r="K568" s="7">
        <v>11.33</v>
      </c>
      <c r="L568" s="8">
        <v>33</v>
      </c>
      <c r="M568" s="8">
        <v>33.99</v>
      </c>
      <c r="N568">
        <v>14</v>
      </c>
      <c r="O568" t="s">
        <v>123</v>
      </c>
      <c r="P568" t="s">
        <v>121</v>
      </c>
    </row>
    <row r="569" spans="1:16" x14ac:dyDescent="0.25">
      <c r="A569" s="10">
        <v>45336</v>
      </c>
      <c r="B569" s="1" t="s">
        <v>104</v>
      </c>
      <c r="C569" s="2">
        <v>2</v>
      </c>
      <c r="D569" s="1" t="s">
        <v>18</v>
      </c>
      <c r="E569" s="1" t="s">
        <v>13</v>
      </c>
      <c r="F569" s="3">
        <v>0</v>
      </c>
      <c r="G569" s="1" t="s">
        <v>105</v>
      </c>
      <c r="H569" s="1" t="s">
        <v>33</v>
      </c>
      <c r="I569" s="1" t="s">
        <v>26</v>
      </c>
      <c r="J569" s="7">
        <v>95</v>
      </c>
      <c r="K569" s="7">
        <v>106.4</v>
      </c>
      <c r="L569" s="8">
        <v>190</v>
      </c>
      <c r="M569" s="8">
        <v>212.8</v>
      </c>
      <c r="N569">
        <v>14</v>
      </c>
      <c r="O569" t="s">
        <v>123</v>
      </c>
      <c r="P569" t="s">
        <v>121</v>
      </c>
    </row>
    <row r="570" spans="1:16" x14ac:dyDescent="0.25">
      <c r="A570" s="10">
        <v>45336</v>
      </c>
      <c r="B570" s="1" t="s">
        <v>94</v>
      </c>
      <c r="C570" s="2">
        <v>1</v>
      </c>
      <c r="D570" s="1" t="s">
        <v>12</v>
      </c>
      <c r="E570" s="1" t="s">
        <v>23</v>
      </c>
      <c r="F570" s="3">
        <v>0</v>
      </c>
      <c r="G570" s="1" t="s">
        <v>95</v>
      </c>
      <c r="H570" s="1" t="s">
        <v>20</v>
      </c>
      <c r="I570" s="1" t="s">
        <v>26</v>
      </c>
      <c r="J570" s="7">
        <v>58</v>
      </c>
      <c r="K570" s="7">
        <v>64.03</v>
      </c>
      <c r="L570" s="8">
        <v>58</v>
      </c>
      <c r="M570" s="8">
        <v>64.03</v>
      </c>
      <c r="N570">
        <v>14</v>
      </c>
      <c r="O570" t="s">
        <v>123</v>
      </c>
      <c r="P570" t="s">
        <v>121</v>
      </c>
    </row>
    <row r="571" spans="1:16" x14ac:dyDescent="0.25">
      <c r="A571" s="10">
        <v>45337</v>
      </c>
      <c r="B571" s="1" t="s">
        <v>80</v>
      </c>
      <c r="C571" s="2">
        <v>6</v>
      </c>
      <c r="D571" s="1" t="s">
        <v>12</v>
      </c>
      <c r="E571" s="1" t="s">
        <v>13</v>
      </c>
      <c r="F571" s="3">
        <v>0.08</v>
      </c>
      <c r="G571" s="1" t="s">
        <v>81</v>
      </c>
      <c r="H571" s="1" t="s">
        <v>20</v>
      </c>
      <c r="I571" s="1" t="s">
        <v>26</v>
      </c>
      <c r="J571" s="7">
        <v>99</v>
      </c>
      <c r="K571" s="7">
        <v>106.31</v>
      </c>
      <c r="L571" s="8">
        <v>594</v>
      </c>
      <c r="M571" s="8">
        <v>637.86</v>
      </c>
      <c r="N571">
        <v>15</v>
      </c>
      <c r="O571" t="s">
        <v>123</v>
      </c>
      <c r="P571" t="s">
        <v>121</v>
      </c>
    </row>
    <row r="572" spans="1:16" x14ac:dyDescent="0.25">
      <c r="A572" s="10">
        <v>45339</v>
      </c>
      <c r="B572" s="1" t="s">
        <v>72</v>
      </c>
      <c r="C572" s="2">
        <v>3</v>
      </c>
      <c r="D572" s="1" t="s">
        <v>13</v>
      </c>
      <c r="E572" s="1" t="s">
        <v>13</v>
      </c>
      <c r="F572" s="3">
        <v>0</v>
      </c>
      <c r="G572" s="1" t="s">
        <v>73</v>
      </c>
      <c r="H572" s="1" t="s">
        <v>33</v>
      </c>
      <c r="I572" s="1" t="s">
        <v>26</v>
      </c>
      <c r="J572" s="7">
        <v>73</v>
      </c>
      <c r="K572" s="7">
        <v>85.71</v>
      </c>
      <c r="L572" s="8">
        <v>219</v>
      </c>
      <c r="M572" s="8">
        <v>257.13</v>
      </c>
      <c r="N572">
        <v>17</v>
      </c>
      <c r="O572" t="s">
        <v>123</v>
      </c>
      <c r="P572" t="s">
        <v>121</v>
      </c>
    </row>
    <row r="573" spans="1:16" x14ac:dyDescent="0.25">
      <c r="A573" s="10">
        <v>45340</v>
      </c>
      <c r="B573" s="1" t="s">
        <v>82</v>
      </c>
      <c r="C573" s="2">
        <v>3</v>
      </c>
      <c r="D573" s="1" t="s">
        <v>13</v>
      </c>
      <c r="E573" s="1" t="s">
        <v>23</v>
      </c>
      <c r="F573" s="3">
        <v>0</v>
      </c>
      <c r="G573" s="1" t="s">
        <v>83</v>
      </c>
      <c r="H573" s="1" t="s">
        <v>33</v>
      </c>
      <c r="I573" s="1" t="s">
        <v>16</v>
      </c>
      <c r="J573" s="7">
        <v>12</v>
      </c>
      <c r="K573" s="7">
        <v>14.08</v>
      </c>
      <c r="L573" s="8">
        <v>36</v>
      </c>
      <c r="M573" s="8">
        <v>42.24</v>
      </c>
      <c r="N573">
        <v>18</v>
      </c>
      <c r="O573" t="s">
        <v>123</v>
      </c>
      <c r="P573" t="s">
        <v>121</v>
      </c>
    </row>
    <row r="574" spans="1:16" x14ac:dyDescent="0.25">
      <c r="A574" s="10">
        <v>45342</v>
      </c>
      <c r="B574" s="1" t="s">
        <v>36</v>
      </c>
      <c r="C574" s="2">
        <v>10</v>
      </c>
      <c r="D574" s="1" t="s">
        <v>18</v>
      </c>
      <c r="E574" s="1" t="s">
        <v>23</v>
      </c>
      <c r="F574" s="3">
        <v>0</v>
      </c>
      <c r="G574" s="1" t="s">
        <v>37</v>
      </c>
      <c r="H574" s="1" t="s">
        <v>15</v>
      </c>
      <c r="I574" s="1" t="s">
        <v>38</v>
      </c>
      <c r="J574" s="7">
        <v>154</v>
      </c>
      <c r="K574" s="7">
        <v>170.49</v>
      </c>
      <c r="L574" s="8">
        <v>1540</v>
      </c>
      <c r="M574" s="8">
        <v>1704.9</v>
      </c>
      <c r="N574">
        <v>20</v>
      </c>
      <c r="O574" t="s">
        <v>123</v>
      </c>
      <c r="P574" t="s">
        <v>121</v>
      </c>
    </row>
    <row r="575" spans="1:16" x14ac:dyDescent="0.25">
      <c r="A575" s="10">
        <v>45343</v>
      </c>
      <c r="B575" s="1" t="s">
        <v>17</v>
      </c>
      <c r="C575" s="2">
        <v>8</v>
      </c>
      <c r="D575" s="1" t="s">
        <v>18</v>
      </c>
      <c r="E575" s="1" t="s">
        <v>23</v>
      </c>
      <c r="F575" s="3">
        <v>0</v>
      </c>
      <c r="G575" s="1" t="s">
        <v>19</v>
      </c>
      <c r="H575" s="1" t="s">
        <v>20</v>
      </c>
      <c r="I575" s="1" t="s">
        <v>21</v>
      </c>
      <c r="J575" s="7">
        <v>51</v>
      </c>
      <c r="K575" s="7">
        <v>58.22</v>
      </c>
      <c r="L575" s="8">
        <v>408</v>
      </c>
      <c r="M575" s="8">
        <v>465.76</v>
      </c>
      <c r="N575">
        <v>21</v>
      </c>
      <c r="O575" t="s">
        <v>123</v>
      </c>
      <c r="P575" t="s">
        <v>121</v>
      </c>
    </row>
    <row r="576" spans="1:16" x14ac:dyDescent="0.25">
      <c r="A576" s="10">
        <v>45345</v>
      </c>
      <c r="B576" s="1" t="s">
        <v>100</v>
      </c>
      <c r="C576" s="2">
        <v>12</v>
      </c>
      <c r="D576" s="1" t="s">
        <v>13</v>
      </c>
      <c r="E576" s="1" t="s">
        <v>13</v>
      </c>
      <c r="F576" s="3">
        <v>0</v>
      </c>
      <c r="G576" s="1" t="s">
        <v>101</v>
      </c>
      <c r="H576" s="1" t="s">
        <v>25</v>
      </c>
      <c r="I576" s="1" t="s">
        <v>26</v>
      </c>
      <c r="J576" s="7">
        <v>94</v>
      </c>
      <c r="K576" s="7">
        <v>109.77</v>
      </c>
      <c r="L576" s="8">
        <v>1128</v>
      </c>
      <c r="M576" s="8">
        <v>1317.24</v>
      </c>
      <c r="N576">
        <v>23</v>
      </c>
      <c r="O576" t="s">
        <v>123</v>
      </c>
      <c r="P576" t="s">
        <v>121</v>
      </c>
    </row>
    <row r="577" spans="1:16" x14ac:dyDescent="0.25">
      <c r="A577" s="10">
        <v>45346</v>
      </c>
      <c r="B577" s="1" t="s">
        <v>108</v>
      </c>
      <c r="C577" s="2">
        <v>12</v>
      </c>
      <c r="D577" s="1" t="s">
        <v>18</v>
      </c>
      <c r="E577" s="1" t="s">
        <v>13</v>
      </c>
      <c r="F577" s="3">
        <v>0</v>
      </c>
      <c r="G577" s="1" t="s">
        <v>109</v>
      </c>
      <c r="H577" s="1" t="s">
        <v>43</v>
      </c>
      <c r="I577" s="1" t="s">
        <v>26</v>
      </c>
      <c r="J577" s="7">
        <v>67</v>
      </c>
      <c r="K577" s="7">
        <v>75.89</v>
      </c>
      <c r="L577" s="8">
        <v>804</v>
      </c>
      <c r="M577" s="8">
        <v>910.68000000000006</v>
      </c>
      <c r="N577">
        <v>24</v>
      </c>
      <c r="O577" t="s">
        <v>123</v>
      </c>
      <c r="P577" t="s">
        <v>121</v>
      </c>
    </row>
    <row r="578" spans="1:16" x14ac:dyDescent="0.25">
      <c r="A578" s="10">
        <v>45347</v>
      </c>
      <c r="B578" s="1" t="s">
        <v>112</v>
      </c>
      <c r="C578" s="2">
        <v>6</v>
      </c>
      <c r="D578" s="1" t="s">
        <v>13</v>
      </c>
      <c r="E578" s="1" t="s">
        <v>23</v>
      </c>
      <c r="F578" s="3">
        <v>0</v>
      </c>
      <c r="G578" s="1" t="s">
        <v>113</v>
      </c>
      <c r="H578" s="1" t="s">
        <v>20</v>
      </c>
      <c r="I578" s="1" t="s">
        <v>16</v>
      </c>
      <c r="J578" s="7">
        <v>10</v>
      </c>
      <c r="K578" s="7">
        <v>11.33</v>
      </c>
      <c r="L578" s="8">
        <v>60</v>
      </c>
      <c r="M578" s="8">
        <v>67.98</v>
      </c>
      <c r="N578">
        <v>25</v>
      </c>
      <c r="O578" t="s">
        <v>123</v>
      </c>
      <c r="P578" t="s">
        <v>121</v>
      </c>
    </row>
    <row r="579" spans="1:16" x14ac:dyDescent="0.25">
      <c r="A579" s="10">
        <v>45347</v>
      </c>
      <c r="B579" s="1" t="s">
        <v>52</v>
      </c>
      <c r="C579" s="2">
        <v>2</v>
      </c>
      <c r="D579" s="1" t="s">
        <v>13</v>
      </c>
      <c r="E579" s="1" t="s">
        <v>13</v>
      </c>
      <c r="F579" s="3">
        <v>0</v>
      </c>
      <c r="G579" s="1" t="s">
        <v>53</v>
      </c>
      <c r="H579" s="1" t="s">
        <v>25</v>
      </c>
      <c r="I579" s="1" t="s">
        <v>21</v>
      </c>
      <c r="J579" s="7">
        <v>62</v>
      </c>
      <c r="K579" s="7">
        <v>72.319999999999993</v>
      </c>
      <c r="L579" s="8">
        <v>124</v>
      </c>
      <c r="M579" s="8">
        <v>144.63999999999999</v>
      </c>
      <c r="N579">
        <v>25</v>
      </c>
      <c r="O579" t="s">
        <v>123</v>
      </c>
      <c r="P579" t="s">
        <v>121</v>
      </c>
    </row>
    <row r="580" spans="1:16" x14ac:dyDescent="0.25">
      <c r="A580" s="10">
        <v>45349</v>
      </c>
      <c r="B580" s="1" t="s">
        <v>70</v>
      </c>
      <c r="C580" s="2">
        <v>8</v>
      </c>
      <c r="D580" s="1" t="s">
        <v>18</v>
      </c>
      <c r="E580" s="1" t="s">
        <v>13</v>
      </c>
      <c r="F580" s="3">
        <v>0</v>
      </c>
      <c r="G580" s="1" t="s">
        <v>71</v>
      </c>
      <c r="H580" s="1" t="s">
        <v>43</v>
      </c>
      <c r="I580" s="1" t="s">
        <v>21</v>
      </c>
      <c r="J580" s="7">
        <v>55</v>
      </c>
      <c r="K580" s="7">
        <v>62.04</v>
      </c>
      <c r="L580" s="8">
        <v>440</v>
      </c>
      <c r="M580" s="8">
        <v>496.32</v>
      </c>
      <c r="N580">
        <v>27</v>
      </c>
      <c r="O580" t="s">
        <v>123</v>
      </c>
      <c r="P580" t="s">
        <v>121</v>
      </c>
    </row>
    <row r="581" spans="1:16" x14ac:dyDescent="0.25">
      <c r="A581" s="10">
        <v>45350</v>
      </c>
      <c r="B581" s="1" t="s">
        <v>88</v>
      </c>
      <c r="C581" s="2">
        <v>11</v>
      </c>
      <c r="D581" s="1" t="s">
        <v>18</v>
      </c>
      <c r="E581" s="1" t="s">
        <v>13</v>
      </c>
      <c r="F581" s="3">
        <v>0</v>
      </c>
      <c r="G581" s="1" t="s">
        <v>89</v>
      </c>
      <c r="H581" s="1" t="s">
        <v>33</v>
      </c>
      <c r="I581" s="1" t="s">
        <v>26</v>
      </c>
      <c r="J581" s="7">
        <v>81</v>
      </c>
      <c r="K581" s="7">
        <v>88.66</v>
      </c>
      <c r="L581" s="8">
        <v>891</v>
      </c>
      <c r="M581" s="8">
        <v>975.26</v>
      </c>
      <c r="N581">
        <v>28</v>
      </c>
      <c r="O581" t="s">
        <v>123</v>
      </c>
      <c r="P581" t="s">
        <v>121</v>
      </c>
    </row>
    <row r="582" spans="1:16" x14ac:dyDescent="0.25">
      <c r="A582" s="10">
        <v>45350</v>
      </c>
      <c r="B582" s="1" t="s">
        <v>78</v>
      </c>
      <c r="C582" s="2">
        <v>3</v>
      </c>
      <c r="D582" s="1" t="s">
        <v>12</v>
      </c>
      <c r="E582" s="1" t="s">
        <v>23</v>
      </c>
      <c r="F582" s="3">
        <v>0</v>
      </c>
      <c r="G582" s="1" t="s">
        <v>79</v>
      </c>
      <c r="H582" s="1" t="s">
        <v>33</v>
      </c>
      <c r="I582" s="1" t="s">
        <v>21</v>
      </c>
      <c r="J582" s="7">
        <v>44</v>
      </c>
      <c r="K582" s="7">
        <v>51.28</v>
      </c>
      <c r="L582" s="8">
        <v>132</v>
      </c>
      <c r="M582" s="8">
        <v>153.84</v>
      </c>
      <c r="N582">
        <v>28</v>
      </c>
      <c r="O582" t="s">
        <v>123</v>
      </c>
      <c r="P582" t="s">
        <v>121</v>
      </c>
    </row>
    <row r="583" spans="1:16" x14ac:dyDescent="0.25">
      <c r="A583" s="10">
        <v>45350</v>
      </c>
      <c r="B583" s="1" t="s">
        <v>102</v>
      </c>
      <c r="C583" s="2">
        <v>10</v>
      </c>
      <c r="D583" s="1" t="s">
        <v>18</v>
      </c>
      <c r="E583" s="1" t="s">
        <v>13</v>
      </c>
      <c r="F583" s="3">
        <v>0</v>
      </c>
      <c r="G583" s="1" t="s">
        <v>103</v>
      </c>
      <c r="H583" s="1" t="s">
        <v>15</v>
      </c>
      <c r="I583" s="1" t="s">
        <v>38</v>
      </c>
      <c r="J583" s="7">
        <v>150</v>
      </c>
      <c r="K583" s="7">
        <v>171.88</v>
      </c>
      <c r="L583" s="8">
        <v>1500</v>
      </c>
      <c r="M583" s="8">
        <v>1718.8</v>
      </c>
      <c r="N583">
        <v>28</v>
      </c>
      <c r="O583" t="s">
        <v>123</v>
      </c>
      <c r="P583" t="s">
        <v>121</v>
      </c>
    </row>
    <row r="584" spans="1:16" x14ac:dyDescent="0.25">
      <c r="A584" s="10">
        <v>45353</v>
      </c>
      <c r="B584" s="1" t="s">
        <v>90</v>
      </c>
      <c r="C584" s="2">
        <v>14</v>
      </c>
      <c r="D584" s="1" t="s">
        <v>18</v>
      </c>
      <c r="E584" s="1" t="s">
        <v>13</v>
      </c>
      <c r="F584" s="3">
        <v>0</v>
      </c>
      <c r="G584" s="1" t="s">
        <v>91</v>
      </c>
      <c r="H584" s="1" t="s">
        <v>20</v>
      </c>
      <c r="I584" s="1" t="s">
        <v>26</v>
      </c>
      <c r="J584" s="7">
        <v>96</v>
      </c>
      <c r="K584" s="7">
        <v>103.96</v>
      </c>
      <c r="L584" s="8">
        <v>1344</v>
      </c>
      <c r="M584" s="8">
        <v>1455.4399999999998</v>
      </c>
      <c r="N584">
        <v>2</v>
      </c>
      <c r="O584" t="s">
        <v>124</v>
      </c>
      <c r="P584" t="s">
        <v>121</v>
      </c>
    </row>
    <row r="585" spans="1:16" x14ac:dyDescent="0.25">
      <c r="A585" s="10">
        <v>45353</v>
      </c>
      <c r="B585" s="1" t="s">
        <v>58</v>
      </c>
      <c r="C585" s="2">
        <v>7</v>
      </c>
      <c r="D585" s="1" t="s">
        <v>18</v>
      </c>
      <c r="E585" s="1" t="s">
        <v>23</v>
      </c>
      <c r="F585" s="3">
        <v>0</v>
      </c>
      <c r="G585" s="1" t="s">
        <v>59</v>
      </c>
      <c r="H585" s="1" t="s">
        <v>43</v>
      </c>
      <c r="I585" s="1" t="s">
        <v>26</v>
      </c>
      <c r="J585" s="7">
        <v>107</v>
      </c>
      <c r="K585" s="7">
        <v>117.21</v>
      </c>
      <c r="L585" s="8">
        <v>749</v>
      </c>
      <c r="M585" s="8">
        <v>820.46999999999991</v>
      </c>
      <c r="N585">
        <v>2</v>
      </c>
      <c r="O585" t="s">
        <v>124</v>
      </c>
      <c r="P585" t="s">
        <v>121</v>
      </c>
    </row>
    <row r="586" spans="1:16" x14ac:dyDescent="0.25">
      <c r="A586" s="10">
        <v>45354</v>
      </c>
      <c r="B586" s="1" t="s">
        <v>44</v>
      </c>
      <c r="C586" s="2">
        <v>3</v>
      </c>
      <c r="D586" s="1" t="s">
        <v>18</v>
      </c>
      <c r="E586" s="1" t="s">
        <v>13</v>
      </c>
      <c r="F586" s="3">
        <v>0</v>
      </c>
      <c r="G586" s="1" t="s">
        <v>45</v>
      </c>
      <c r="H586" s="1" t="s">
        <v>15</v>
      </c>
      <c r="I586" s="1" t="s">
        <v>38</v>
      </c>
      <c r="J586" s="7">
        <v>119</v>
      </c>
      <c r="K586" s="7">
        <v>140.12</v>
      </c>
      <c r="L586" s="8">
        <v>357</v>
      </c>
      <c r="M586" s="8">
        <v>420.36</v>
      </c>
      <c r="N586">
        <v>3</v>
      </c>
      <c r="O586" t="s">
        <v>124</v>
      </c>
      <c r="P586" t="s">
        <v>121</v>
      </c>
    </row>
    <row r="587" spans="1:16" x14ac:dyDescent="0.25">
      <c r="A587" s="10">
        <v>45355</v>
      </c>
      <c r="B587" s="1" t="s">
        <v>50</v>
      </c>
      <c r="C587" s="2">
        <v>5</v>
      </c>
      <c r="D587" s="1" t="s">
        <v>13</v>
      </c>
      <c r="E587" s="1" t="s">
        <v>13</v>
      </c>
      <c r="F587" s="3">
        <v>0</v>
      </c>
      <c r="G587" s="1" t="s">
        <v>51</v>
      </c>
      <c r="H587" s="1" t="s">
        <v>33</v>
      </c>
      <c r="I587" s="1" t="s">
        <v>26</v>
      </c>
      <c r="J587" s="7">
        <v>109</v>
      </c>
      <c r="K587" s="7">
        <v>126.78</v>
      </c>
      <c r="L587" s="8">
        <v>545</v>
      </c>
      <c r="M587" s="8">
        <v>633.9</v>
      </c>
      <c r="N587">
        <v>4</v>
      </c>
      <c r="O587" t="s">
        <v>124</v>
      </c>
      <c r="P587" t="s">
        <v>121</v>
      </c>
    </row>
    <row r="588" spans="1:16" x14ac:dyDescent="0.25">
      <c r="A588" s="10">
        <v>45355</v>
      </c>
      <c r="B588" s="1" t="s">
        <v>104</v>
      </c>
      <c r="C588" s="2">
        <v>11</v>
      </c>
      <c r="D588" s="1" t="s">
        <v>13</v>
      </c>
      <c r="E588" s="1" t="s">
        <v>23</v>
      </c>
      <c r="F588" s="3">
        <v>0</v>
      </c>
      <c r="G588" s="1" t="s">
        <v>105</v>
      </c>
      <c r="H588" s="1" t="s">
        <v>33</v>
      </c>
      <c r="I588" s="1" t="s">
        <v>26</v>
      </c>
      <c r="J588" s="7">
        <v>93</v>
      </c>
      <c r="K588" s="7">
        <v>108.42</v>
      </c>
      <c r="L588" s="8">
        <v>1023</v>
      </c>
      <c r="M588" s="8">
        <v>1192.6200000000001</v>
      </c>
      <c r="N588">
        <v>4</v>
      </c>
      <c r="O588" t="s">
        <v>124</v>
      </c>
      <c r="P588" t="s">
        <v>121</v>
      </c>
    </row>
    <row r="589" spans="1:16" x14ac:dyDescent="0.25">
      <c r="A589" s="10">
        <v>45355</v>
      </c>
      <c r="B589" s="1" t="s">
        <v>96</v>
      </c>
      <c r="C589" s="2">
        <v>5</v>
      </c>
      <c r="D589" s="1" t="s">
        <v>18</v>
      </c>
      <c r="E589" s="1" t="s">
        <v>13</v>
      </c>
      <c r="F589" s="3">
        <v>0</v>
      </c>
      <c r="G589" s="1" t="s">
        <v>97</v>
      </c>
      <c r="H589" s="1" t="s">
        <v>20</v>
      </c>
      <c r="I589" s="1" t="s">
        <v>21</v>
      </c>
      <c r="J589" s="7">
        <v>58</v>
      </c>
      <c r="K589" s="7">
        <v>65.099999999999994</v>
      </c>
      <c r="L589" s="8">
        <v>290</v>
      </c>
      <c r="M589" s="8">
        <v>325.5</v>
      </c>
      <c r="N589">
        <v>4</v>
      </c>
      <c r="O589" t="s">
        <v>124</v>
      </c>
      <c r="P589" t="s">
        <v>121</v>
      </c>
    </row>
    <row r="590" spans="1:16" x14ac:dyDescent="0.25">
      <c r="A590" s="10">
        <v>45356</v>
      </c>
      <c r="B590" s="1" t="s">
        <v>31</v>
      </c>
      <c r="C590" s="2">
        <v>11</v>
      </c>
      <c r="D590" s="1" t="s">
        <v>18</v>
      </c>
      <c r="E590" s="1" t="s">
        <v>13</v>
      </c>
      <c r="F590" s="3">
        <v>0</v>
      </c>
      <c r="G590" s="1" t="s">
        <v>32</v>
      </c>
      <c r="H590" s="1" t="s">
        <v>33</v>
      </c>
      <c r="I590" s="1" t="s">
        <v>21</v>
      </c>
      <c r="J590" s="7">
        <v>66</v>
      </c>
      <c r="K590" s="7">
        <v>76.02</v>
      </c>
      <c r="L590" s="8">
        <v>726</v>
      </c>
      <c r="M590" s="8">
        <v>836.21999999999991</v>
      </c>
      <c r="N590">
        <v>5</v>
      </c>
      <c r="O590" t="s">
        <v>124</v>
      </c>
      <c r="P590" t="s">
        <v>121</v>
      </c>
    </row>
    <row r="591" spans="1:16" x14ac:dyDescent="0.25">
      <c r="A591" s="10">
        <v>45356</v>
      </c>
      <c r="B591" s="1" t="s">
        <v>17</v>
      </c>
      <c r="C591" s="2">
        <v>9</v>
      </c>
      <c r="D591" s="1" t="s">
        <v>18</v>
      </c>
      <c r="E591" s="1" t="s">
        <v>13</v>
      </c>
      <c r="F591" s="3">
        <v>0</v>
      </c>
      <c r="G591" s="1" t="s">
        <v>19</v>
      </c>
      <c r="H591" s="1" t="s">
        <v>20</v>
      </c>
      <c r="I591" s="1" t="s">
        <v>21</v>
      </c>
      <c r="J591" s="7">
        <v>52</v>
      </c>
      <c r="K591" s="7">
        <v>58.61</v>
      </c>
      <c r="L591" s="8">
        <v>468</v>
      </c>
      <c r="M591" s="8">
        <v>527.49</v>
      </c>
      <c r="N591">
        <v>5</v>
      </c>
      <c r="O591" t="s">
        <v>124</v>
      </c>
      <c r="P591" t="s">
        <v>121</v>
      </c>
    </row>
    <row r="592" spans="1:16" x14ac:dyDescent="0.25">
      <c r="A592" s="10">
        <v>45356</v>
      </c>
      <c r="B592" s="1" t="s">
        <v>92</v>
      </c>
      <c r="C592" s="2">
        <v>4</v>
      </c>
      <c r="D592" s="1" t="s">
        <v>13</v>
      </c>
      <c r="E592" s="1" t="s">
        <v>13</v>
      </c>
      <c r="F592" s="3">
        <v>0</v>
      </c>
      <c r="G592" s="1" t="s">
        <v>93</v>
      </c>
      <c r="H592" s="1" t="s">
        <v>33</v>
      </c>
      <c r="I592" s="1" t="s">
        <v>26</v>
      </c>
      <c r="J592" s="7">
        <v>78</v>
      </c>
      <c r="K592" s="7">
        <v>88.58</v>
      </c>
      <c r="L592" s="8">
        <v>312</v>
      </c>
      <c r="M592" s="8">
        <v>354.32</v>
      </c>
      <c r="N592">
        <v>5</v>
      </c>
      <c r="O592" t="s">
        <v>124</v>
      </c>
      <c r="P592" t="s">
        <v>121</v>
      </c>
    </row>
    <row r="593" spans="1:16" x14ac:dyDescent="0.25">
      <c r="A593" s="10">
        <v>45357</v>
      </c>
      <c r="B593" s="1" t="s">
        <v>104</v>
      </c>
      <c r="C593" s="2">
        <v>15</v>
      </c>
      <c r="D593" s="1" t="s">
        <v>13</v>
      </c>
      <c r="E593" s="1" t="s">
        <v>13</v>
      </c>
      <c r="F593" s="3">
        <v>0</v>
      </c>
      <c r="G593" s="1" t="s">
        <v>105</v>
      </c>
      <c r="H593" s="1" t="s">
        <v>33</v>
      </c>
      <c r="I593" s="1" t="s">
        <v>26</v>
      </c>
      <c r="J593" s="7">
        <v>97</v>
      </c>
      <c r="K593" s="7">
        <v>108.27</v>
      </c>
      <c r="L593" s="8">
        <v>1455</v>
      </c>
      <c r="M593" s="8">
        <v>1624.05</v>
      </c>
      <c r="N593">
        <v>6</v>
      </c>
      <c r="O593" t="s">
        <v>124</v>
      </c>
      <c r="P593" t="s">
        <v>121</v>
      </c>
    </row>
    <row r="594" spans="1:16" x14ac:dyDescent="0.25">
      <c r="A594" s="10">
        <v>45359</v>
      </c>
      <c r="B594" s="1" t="s">
        <v>50</v>
      </c>
      <c r="C594" s="2">
        <v>5</v>
      </c>
      <c r="D594" s="1" t="s">
        <v>13</v>
      </c>
      <c r="E594" s="1" t="s">
        <v>23</v>
      </c>
      <c r="F594" s="3">
        <v>0</v>
      </c>
      <c r="G594" s="1" t="s">
        <v>51</v>
      </c>
      <c r="H594" s="1" t="s">
        <v>33</v>
      </c>
      <c r="I594" s="1" t="s">
        <v>26</v>
      </c>
      <c r="J594" s="7">
        <v>108</v>
      </c>
      <c r="K594" s="7">
        <v>119.92</v>
      </c>
      <c r="L594" s="8">
        <v>540</v>
      </c>
      <c r="M594" s="8">
        <v>599.6</v>
      </c>
      <c r="N594">
        <v>8</v>
      </c>
      <c r="O594" t="s">
        <v>124</v>
      </c>
      <c r="P594" t="s">
        <v>121</v>
      </c>
    </row>
    <row r="595" spans="1:16" x14ac:dyDescent="0.25">
      <c r="A595" s="10">
        <v>45359</v>
      </c>
      <c r="B595" s="1" t="s">
        <v>50</v>
      </c>
      <c r="C595" s="2">
        <v>15</v>
      </c>
      <c r="D595" s="1" t="s">
        <v>13</v>
      </c>
      <c r="E595" s="1" t="s">
        <v>23</v>
      </c>
      <c r="F595" s="3">
        <v>0</v>
      </c>
      <c r="G595" s="1" t="s">
        <v>51</v>
      </c>
      <c r="H595" s="1" t="s">
        <v>33</v>
      </c>
      <c r="I595" s="1" t="s">
        <v>26</v>
      </c>
      <c r="J595" s="7">
        <v>110</v>
      </c>
      <c r="K595" s="7">
        <v>127.56</v>
      </c>
      <c r="L595" s="8">
        <v>1650</v>
      </c>
      <c r="M595" s="8">
        <v>1913.4</v>
      </c>
      <c r="N595">
        <v>8</v>
      </c>
      <c r="O595" t="s">
        <v>124</v>
      </c>
      <c r="P595" t="s">
        <v>121</v>
      </c>
    </row>
    <row r="596" spans="1:16" x14ac:dyDescent="0.25">
      <c r="A596" s="10">
        <v>45360</v>
      </c>
      <c r="B596" s="1" t="s">
        <v>86</v>
      </c>
      <c r="C596" s="2">
        <v>4</v>
      </c>
      <c r="D596" s="1" t="s">
        <v>12</v>
      </c>
      <c r="E596" s="1" t="s">
        <v>13</v>
      </c>
      <c r="F596" s="3">
        <v>0</v>
      </c>
      <c r="G596" s="1" t="s">
        <v>87</v>
      </c>
      <c r="H596" s="1" t="s">
        <v>20</v>
      </c>
      <c r="I596" s="1" t="s">
        <v>21</v>
      </c>
      <c r="J596" s="7">
        <v>57</v>
      </c>
      <c r="K596" s="7">
        <v>66.709999999999994</v>
      </c>
      <c r="L596" s="8">
        <v>228</v>
      </c>
      <c r="M596" s="8">
        <v>266.83999999999997</v>
      </c>
      <c r="N596">
        <v>9</v>
      </c>
      <c r="O596" t="s">
        <v>124</v>
      </c>
      <c r="P596" t="s">
        <v>121</v>
      </c>
    </row>
    <row r="597" spans="1:16" x14ac:dyDescent="0.25">
      <c r="A597" s="10">
        <v>45361</v>
      </c>
      <c r="B597" s="1" t="s">
        <v>94</v>
      </c>
      <c r="C597" s="2">
        <v>7</v>
      </c>
      <c r="D597" s="1" t="s">
        <v>13</v>
      </c>
      <c r="E597" s="1" t="s">
        <v>13</v>
      </c>
      <c r="F597" s="3">
        <v>0</v>
      </c>
      <c r="G597" s="1" t="s">
        <v>95</v>
      </c>
      <c r="H597" s="1" t="s">
        <v>20</v>
      </c>
      <c r="I597" s="1" t="s">
        <v>26</v>
      </c>
      <c r="J597" s="7">
        <v>62</v>
      </c>
      <c r="K597" s="7">
        <v>68.239999999999995</v>
      </c>
      <c r="L597" s="8">
        <v>434</v>
      </c>
      <c r="M597" s="8">
        <v>477.67999999999995</v>
      </c>
      <c r="N597">
        <v>10</v>
      </c>
      <c r="O597" t="s">
        <v>124</v>
      </c>
      <c r="P597" t="s">
        <v>121</v>
      </c>
    </row>
    <row r="598" spans="1:16" x14ac:dyDescent="0.25">
      <c r="A598" s="10">
        <v>45361</v>
      </c>
      <c r="B598" s="1" t="s">
        <v>92</v>
      </c>
      <c r="C598" s="2">
        <v>14</v>
      </c>
      <c r="D598" s="1" t="s">
        <v>18</v>
      </c>
      <c r="E598" s="1" t="s">
        <v>13</v>
      </c>
      <c r="F598" s="3">
        <v>0</v>
      </c>
      <c r="G598" s="1" t="s">
        <v>93</v>
      </c>
      <c r="H598" s="1" t="s">
        <v>33</v>
      </c>
      <c r="I598" s="1" t="s">
        <v>26</v>
      </c>
      <c r="J598" s="7">
        <v>79</v>
      </c>
      <c r="K598" s="7">
        <v>93.12</v>
      </c>
      <c r="L598" s="8">
        <v>1106</v>
      </c>
      <c r="M598" s="8">
        <v>1303.68</v>
      </c>
      <c r="N598">
        <v>10</v>
      </c>
      <c r="O598" t="s">
        <v>124</v>
      </c>
      <c r="P598" t="s">
        <v>121</v>
      </c>
    </row>
    <row r="599" spans="1:16" x14ac:dyDescent="0.25">
      <c r="A599" s="10">
        <v>45362</v>
      </c>
      <c r="B599" s="1" t="s">
        <v>76</v>
      </c>
      <c r="C599" s="2">
        <v>3</v>
      </c>
      <c r="D599" s="1" t="s">
        <v>13</v>
      </c>
      <c r="E599" s="1" t="s">
        <v>13</v>
      </c>
      <c r="F599" s="3">
        <v>0</v>
      </c>
      <c r="G599" s="1" t="s">
        <v>77</v>
      </c>
      <c r="H599" s="1" t="s">
        <v>25</v>
      </c>
      <c r="I599" s="1" t="s">
        <v>26</v>
      </c>
      <c r="J599" s="7">
        <v>115</v>
      </c>
      <c r="K599" s="7">
        <v>135.22999999999999</v>
      </c>
      <c r="L599" s="8">
        <v>345</v>
      </c>
      <c r="M599" s="8">
        <v>405.68999999999994</v>
      </c>
      <c r="N599">
        <v>11</v>
      </c>
      <c r="O599" t="s">
        <v>124</v>
      </c>
      <c r="P599" t="s">
        <v>121</v>
      </c>
    </row>
    <row r="600" spans="1:16" x14ac:dyDescent="0.25">
      <c r="A600" s="10">
        <v>45362</v>
      </c>
      <c r="B600" s="1" t="s">
        <v>29</v>
      </c>
      <c r="C600" s="2">
        <v>8</v>
      </c>
      <c r="D600" s="1" t="s">
        <v>13</v>
      </c>
      <c r="E600" s="1" t="s">
        <v>13</v>
      </c>
      <c r="F600" s="3">
        <v>0</v>
      </c>
      <c r="G600" s="1" t="s">
        <v>30</v>
      </c>
      <c r="H600" s="1" t="s">
        <v>15</v>
      </c>
      <c r="I600" s="1" t="s">
        <v>16</v>
      </c>
      <c r="J600" s="7">
        <v>13</v>
      </c>
      <c r="K600" s="7">
        <v>14.24</v>
      </c>
      <c r="L600" s="8">
        <v>104</v>
      </c>
      <c r="M600" s="8">
        <v>113.92</v>
      </c>
      <c r="N600">
        <v>11</v>
      </c>
      <c r="O600" t="s">
        <v>124</v>
      </c>
      <c r="P600" t="s">
        <v>121</v>
      </c>
    </row>
    <row r="601" spans="1:16" x14ac:dyDescent="0.25">
      <c r="A601" s="10">
        <v>45364</v>
      </c>
      <c r="B601" s="1" t="s">
        <v>70</v>
      </c>
      <c r="C601" s="2">
        <v>8</v>
      </c>
      <c r="D601" s="1" t="s">
        <v>12</v>
      </c>
      <c r="E601" s="1" t="s">
        <v>13</v>
      </c>
      <c r="F601" s="3">
        <v>0</v>
      </c>
      <c r="G601" s="1" t="s">
        <v>71</v>
      </c>
      <c r="H601" s="1" t="s">
        <v>43</v>
      </c>
      <c r="I601" s="1" t="s">
        <v>21</v>
      </c>
      <c r="J601" s="7">
        <v>56</v>
      </c>
      <c r="K601" s="7">
        <v>63.32</v>
      </c>
      <c r="L601" s="8">
        <v>448</v>
      </c>
      <c r="M601" s="8">
        <v>506.56</v>
      </c>
      <c r="N601">
        <v>13</v>
      </c>
      <c r="O601" t="s">
        <v>124</v>
      </c>
      <c r="P601" t="s">
        <v>121</v>
      </c>
    </row>
    <row r="602" spans="1:16" x14ac:dyDescent="0.25">
      <c r="A602" s="10">
        <v>45364</v>
      </c>
      <c r="B602" s="1" t="s">
        <v>102</v>
      </c>
      <c r="C602" s="2">
        <v>15</v>
      </c>
      <c r="D602" s="1" t="s">
        <v>13</v>
      </c>
      <c r="E602" s="1" t="s">
        <v>23</v>
      </c>
      <c r="F602" s="3">
        <v>0</v>
      </c>
      <c r="G602" s="1" t="s">
        <v>103</v>
      </c>
      <c r="H602" s="1" t="s">
        <v>15</v>
      </c>
      <c r="I602" s="1" t="s">
        <v>38</v>
      </c>
      <c r="J602" s="7">
        <v>156</v>
      </c>
      <c r="K602" s="7">
        <v>178.73</v>
      </c>
      <c r="L602" s="8">
        <v>2340</v>
      </c>
      <c r="M602" s="8">
        <v>2680.95</v>
      </c>
      <c r="N602">
        <v>13</v>
      </c>
      <c r="O602" t="s">
        <v>124</v>
      </c>
      <c r="P602" t="s">
        <v>121</v>
      </c>
    </row>
    <row r="603" spans="1:16" x14ac:dyDescent="0.25">
      <c r="A603" s="10">
        <v>45364</v>
      </c>
      <c r="B603" s="1" t="s">
        <v>96</v>
      </c>
      <c r="C603" s="2">
        <v>7</v>
      </c>
      <c r="D603" s="1" t="s">
        <v>13</v>
      </c>
      <c r="E603" s="1" t="s">
        <v>13</v>
      </c>
      <c r="F603" s="3">
        <v>0</v>
      </c>
      <c r="G603" s="1" t="s">
        <v>97</v>
      </c>
      <c r="H603" s="1" t="s">
        <v>20</v>
      </c>
      <c r="I603" s="1" t="s">
        <v>21</v>
      </c>
      <c r="J603" s="7">
        <v>58</v>
      </c>
      <c r="K603" s="7">
        <v>64.13</v>
      </c>
      <c r="L603" s="8">
        <v>406</v>
      </c>
      <c r="M603" s="8">
        <v>448.90999999999997</v>
      </c>
      <c r="N603">
        <v>13</v>
      </c>
      <c r="O603" t="s">
        <v>124</v>
      </c>
      <c r="P603" t="s">
        <v>121</v>
      </c>
    </row>
    <row r="604" spans="1:16" x14ac:dyDescent="0.25">
      <c r="A604" s="10">
        <v>45364</v>
      </c>
      <c r="B604" s="1" t="s">
        <v>22</v>
      </c>
      <c r="C604" s="2">
        <v>14</v>
      </c>
      <c r="D604" s="1" t="s">
        <v>13</v>
      </c>
      <c r="E604" s="1" t="s">
        <v>23</v>
      </c>
      <c r="F604" s="3">
        <v>0</v>
      </c>
      <c r="G604" s="1" t="s">
        <v>24</v>
      </c>
      <c r="H604" s="1" t="s">
        <v>25</v>
      </c>
      <c r="I604" s="1" t="s">
        <v>26</v>
      </c>
      <c r="J604" s="7">
        <v>121</v>
      </c>
      <c r="K604" s="7">
        <v>135.02000000000001</v>
      </c>
      <c r="L604" s="8">
        <v>1694</v>
      </c>
      <c r="M604" s="8">
        <v>1890.2800000000002</v>
      </c>
      <c r="N604">
        <v>13</v>
      </c>
      <c r="O604" t="s">
        <v>124</v>
      </c>
      <c r="P604" t="s">
        <v>121</v>
      </c>
    </row>
    <row r="605" spans="1:16" x14ac:dyDescent="0.25">
      <c r="A605" s="10">
        <v>45367</v>
      </c>
      <c r="B605" s="1" t="s">
        <v>31</v>
      </c>
      <c r="C605" s="2">
        <v>5</v>
      </c>
      <c r="D605" s="1" t="s">
        <v>18</v>
      </c>
      <c r="E605" s="1" t="s">
        <v>23</v>
      </c>
      <c r="F605" s="3">
        <v>0</v>
      </c>
      <c r="G605" s="1" t="s">
        <v>32</v>
      </c>
      <c r="H605" s="1" t="s">
        <v>33</v>
      </c>
      <c r="I605" s="1" t="s">
        <v>21</v>
      </c>
      <c r="J605" s="7">
        <v>65</v>
      </c>
      <c r="K605" s="7">
        <v>71.17</v>
      </c>
      <c r="L605" s="8">
        <v>325</v>
      </c>
      <c r="M605" s="8">
        <v>355.85</v>
      </c>
      <c r="N605">
        <v>16</v>
      </c>
      <c r="O605" t="s">
        <v>124</v>
      </c>
      <c r="P605" t="s">
        <v>121</v>
      </c>
    </row>
    <row r="606" spans="1:16" x14ac:dyDescent="0.25">
      <c r="A606" s="10">
        <v>45367</v>
      </c>
      <c r="B606" s="1" t="s">
        <v>108</v>
      </c>
      <c r="C606" s="2">
        <v>13</v>
      </c>
      <c r="D606" s="1" t="s">
        <v>18</v>
      </c>
      <c r="E606" s="1" t="s">
        <v>13</v>
      </c>
      <c r="F606" s="3">
        <v>0</v>
      </c>
      <c r="G606" s="1" t="s">
        <v>109</v>
      </c>
      <c r="H606" s="1" t="s">
        <v>43</v>
      </c>
      <c r="I606" s="1" t="s">
        <v>26</v>
      </c>
      <c r="J606" s="7">
        <v>67</v>
      </c>
      <c r="K606" s="7">
        <v>75.25</v>
      </c>
      <c r="L606" s="8">
        <v>871</v>
      </c>
      <c r="M606" s="8">
        <v>978.25</v>
      </c>
      <c r="N606">
        <v>16</v>
      </c>
      <c r="O606" t="s">
        <v>124</v>
      </c>
      <c r="P606" t="s">
        <v>121</v>
      </c>
    </row>
    <row r="607" spans="1:16" x14ac:dyDescent="0.25">
      <c r="A607" s="10">
        <v>45368</v>
      </c>
      <c r="B607" s="1" t="s">
        <v>62</v>
      </c>
      <c r="C607" s="2">
        <v>11</v>
      </c>
      <c r="D607" s="1" t="s">
        <v>12</v>
      </c>
      <c r="E607" s="1" t="s">
        <v>23</v>
      </c>
      <c r="F607" s="3">
        <v>0.08</v>
      </c>
      <c r="G607" s="1" t="s">
        <v>63</v>
      </c>
      <c r="H607" s="1" t="s">
        <v>15</v>
      </c>
      <c r="I607" s="1" t="s">
        <v>38</v>
      </c>
      <c r="J607" s="7">
        <v>101</v>
      </c>
      <c r="K607" s="7">
        <v>105.04</v>
      </c>
      <c r="L607" s="8">
        <v>1111</v>
      </c>
      <c r="M607" s="8">
        <v>1155.44</v>
      </c>
      <c r="N607">
        <v>17</v>
      </c>
      <c r="O607" t="s">
        <v>124</v>
      </c>
      <c r="P607" t="s">
        <v>121</v>
      </c>
    </row>
    <row r="608" spans="1:16" x14ac:dyDescent="0.25">
      <c r="A608" s="10">
        <v>45370</v>
      </c>
      <c r="B608" s="1" t="s">
        <v>50</v>
      </c>
      <c r="C608" s="2">
        <v>1</v>
      </c>
      <c r="D608" s="1" t="s">
        <v>13</v>
      </c>
      <c r="E608" s="1" t="s">
        <v>13</v>
      </c>
      <c r="F608" s="3">
        <v>0.05</v>
      </c>
      <c r="G608" s="1" t="s">
        <v>51</v>
      </c>
      <c r="H608" s="1" t="s">
        <v>33</v>
      </c>
      <c r="I608" s="1" t="s">
        <v>26</v>
      </c>
      <c r="J608" s="7">
        <v>108</v>
      </c>
      <c r="K608" s="7">
        <v>112.49</v>
      </c>
      <c r="L608" s="8">
        <v>108</v>
      </c>
      <c r="M608" s="8">
        <v>112.49</v>
      </c>
      <c r="N608">
        <v>19</v>
      </c>
      <c r="O608" t="s">
        <v>124</v>
      </c>
      <c r="P608" t="s">
        <v>121</v>
      </c>
    </row>
    <row r="609" spans="1:16" x14ac:dyDescent="0.25">
      <c r="A609" s="10">
        <v>45370</v>
      </c>
      <c r="B609" s="1" t="s">
        <v>34</v>
      </c>
      <c r="C609" s="2">
        <v>7</v>
      </c>
      <c r="D609" s="1" t="s">
        <v>13</v>
      </c>
      <c r="E609" s="1" t="s">
        <v>13</v>
      </c>
      <c r="F609" s="3">
        <v>0</v>
      </c>
      <c r="G609" s="1" t="s">
        <v>35</v>
      </c>
      <c r="H609" s="1" t="s">
        <v>20</v>
      </c>
      <c r="I609" s="1" t="s">
        <v>16</v>
      </c>
      <c r="J609" s="7">
        <v>5</v>
      </c>
      <c r="K609" s="7">
        <v>5.57</v>
      </c>
      <c r="L609" s="8">
        <v>35</v>
      </c>
      <c r="M609" s="8">
        <v>38.99</v>
      </c>
      <c r="N609">
        <v>19</v>
      </c>
      <c r="O609" t="s">
        <v>124</v>
      </c>
      <c r="P609" t="s">
        <v>121</v>
      </c>
    </row>
    <row r="610" spans="1:16" x14ac:dyDescent="0.25">
      <c r="A610" s="10">
        <v>45374</v>
      </c>
      <c r="B610" s="1" t="s">
        <v>100</v>
      </c>
      <c r="C610" s="2">
        <v>3</v>
      </c>
      <c r="D610" s="1" t="s">
        <v>12</v>
      </c>
      <c r="E610" s="1" t="s">
        <v>13</v>
      </c>
      <c r="F610" s="3">
        <v>0.02</v>
      </c>
      <c r="G610" s="1" t="s">
        <v>101</v>
      </c>
      <c r="H610" s="1" t="s">
        <v>25</v>
      </c>
      <c r="I610" s="1" t="s">
        <v>26</v>
      </c>
      <c r="J610" s="7">
        <v>92</v>
      </c>
      <c r="K610" s="7">
        <v>98.86</v>
      </c>
      <c r="L610" s="8">
        <v>276</v>
      </c>
      <c r="M610" s="8">
        <v>296.58</v>
      </c>
      <c r="N610">
        <v>23</v>
      </c>
      <c r="O610" t="s">
        <v>124</v>
      </c>
      <c r="P610" t="s">
        <v>121</v>
      </c>
    </row>
    <row r="611" spans="1:16" x14ac:dyDescent="0.25">
      <c r="A611" s="10">
        <v>45374</v>
      </c>
      <c r="B611" s="1" t="s">
        <v>29</v>
      </c>
      <c r="C611" s="2">
        <v>2</v>
      </c>
      <c r="D611" s="1" t="s">
        <v>18</v>
      </c>
      <c r="E611" s="1" t="s">
        <v>23</v>
      </c>
      <c r="F611" s="3">
        <v>0</v>
      </c>
      <c r="G611" s="1" t="s">
        <v>30</v>
      </c>
      <c r="H611" s="1" t="s">
        <v>15</v>
      </c>
      <c r="I611" s="1" t="s">
        <v>16</v>
      </c>
      <c r="J611" s="7">
        <v>13</v>
      </c>
      <c r="K611" s="7">
        <v>14.72</v>
      </c>
      <c r="L611" s="8">
        <v>26</v>
      </c>
      <c r="M611" s="8">
        <v>29.44</v>
      </c>
      <c r="N611">
        <v>23</v>
      </c>
      <c r="O611" t="s">
        <v>124</v>
      </c>
      <c r="P611" t="s">
        <v>121</v>
      </c>
    </row>
    <row r="612" spans="1:16" x14ac:dyDescent="0.25">
      <c r="A612" s="10">
        <v>45374</v>
      </c>
      <c r="B612" s="1" t="s">
        <v>102</v>
      </c>
      <c r="C612" s="2">
        <v>11</v>
      </c>
      <c r="D612" s="1" t="s">
        <v>18</v>
      </c>
      <c r="E612" s="1" t="s">
        <v>13</v>
      </c>
      <c r="F612" s="3">
        <v>0</v>
      </c>
      <c r="G612" s="1" t="s">
        <v>103</v>
      </c>
      <c r="H612" s="1" t="s">
        <v>15</v>
      </c>
      <c r="I612" s="1" t="s">
        <v>38</v>
      </c>
      <c r="J612" s="7">
        <v>157</v>
      </c>
      <c r="K612" s="7">
        <v>181.63</v>
      </c>
      <c r="L612" s="8">
        <v>1727</v>
      </c>
      <c r="M612" s="8">
        <v>1997.9299999999998</v>
      </c>
      <c r="N612">
        <v>23</v>
      </c>
      <c r="O612" t="s">
        <v>124</v>
      </c>
      <c r="P612" t="s">
        <v>121</v>
      </c>
    </row>
    <row r="613" spans="1:16" x14ac:dyDescent="0.25">
      <c r="A613" s="10">
        <v>45374</v>
      </c>
      <c r="B613" s="1" t="s">
        <v>11</v>
      </c>
      <c r="C613" s="2">
        <v>8</v>
      </c>
      <c r="D613" s="1" t="s">
        <v>12</v>
      </c>
      <c r="E613" s="1" t="s">
        <v>23</v>
      </c>
      <c r="F613" s="3">
        <v>0.1</v>
      </c>
      <c r="G613" s="1" t="s">
        <v>14</v>
      </c>
      <c r="H613" s="1" t="s">
        <v>15</v>
      </c>
      <c r="I613" s="1" t="s">
        <v>16</v>
      </c>
      <c r="J613" s="7">
        <v>7</v>
      </c>
      <c r="K613" s="7">
        <v>7.37</v>
      </c>
      <c r="L613" s="8">
        <v>56</v>
      </c>
      <c r="M613" s="8">
        <v>58.96</v>
      </c>
      <c r="N613">
        <v>23</v>
      </c>
      <c r="O613" t="s">
        <v>124</v>
      </c>
      <c r="P613" t="s">
        <v>121</v>
      </c>
    </row>
    <row r="614" spans="1:16" x14ac:dyDescent="0.25">
      <c r="A614" s="10">
        <v>45374</v>
      </c>
      <c r="B614" s="1" t="s">
        <v>84</v>
      </c>
      <c r="C614" s="2">
        <v>2</v>
      </c>
      <c r="D614" s="1" t="s">
        <v>12</v>
      </c>
      <c r="E614" s="1" t="s">
        <v>13</v>
      </c>
      <c r="F614" s="3">
        <v>0.02</v>
      </c>
      <c r="G614" s="1" t="s">
        <v>85</v>
      </c>
      <c r="H614" s="1" t="s">
        <v>33</v>
      </c>
      <c r="I614" s="1" t="s">
        <v>38</v>
      </c>
      <c r="J614" s="7">
        <v>127</v>
      </c>
      <c r="K614" s="7">
        <v>140.05000000000001</v>
      </c>
      <c r="L614" s="8">
        <v>254</v>
      </c>
      <c r="M614" s="8">
        <v>280.10000000000002</v>
      </c>
      <c r="N614">
        <v>23</v>
      </c>
      <c r="O614" t="s">
        <v>124</v>
      </c>
      <c r="P614" t="s">
        <v>121</v>
      </c>
    </row>
    <row r="615" spans="1:16" x14ac:dyDescent="0.25">
      <c r="A615" s="10">
        <v>45375</v>
      </c>
      <c r="B615" s="1" t="s">
        <v>27</v>
      </c>
      <c r="C615" s="2">
        <v>6</v>
      </c>
      <c r="D615" s="1" t="s">
        <v>18</v>
      </c>
      <c r="E615" s="1" t="s">
        <v>13</v>
      </c>
      <c r="F615" s="3">
        <v>0</v>
      </c>
      <c r="G615" s="1" t="s">
        <v>28</v>
      </c>
      <c r="H615" s="1" t="s">
        <v>25</v>
      </c>
      <c r="I615" s="1" t="s">
        <v>26</v>
      </c>
      <c r="J615" s="7">
        <v>51</v>
      </c>
      <c r="K615" s="7">
        <v>58.74</v>
      </c>
      <c r="L615" s="8">
        <v>306</v>
      </c>
      <c r="M615" s="8">
        <v>352.44</v>
      </c>
      <c r="N615">
        <v>24</v>
      </c>
      <c r="O615" t="s">
        <v>124</v>
      </c>
      <c r="P615" t="s">
        <v>121</v>
      </c>
    </row>
    <row r="616" spans="1:16" x14ac:dyDescent="0.25">
      <c r="A616" s="10">
        <v>45377</v>
      </c>
      <c r="B616" s="1" t="s">
        <v>64</v>
      </c>
      <c r="C616" s="2">
        <v>14</v>
      </c>
      <c r="D616" s="1" t="s">
        <v>12</v>
      </c>
      <c r="E616" s="1" t="s">
        <v>13</v>
      </c>
      <c r="F616" s="3">
        <v>0</v>
      </c>
      <c r="G616" s="1" t="s">
        <v>65</v>
      </c>
      <c r="H616" s="1" t="s">
        <v>25</v>
      </c>
      <c r="I616" s="1" t="s">
        <v>26</v>
      </c>
      <c r="J616" s="7">
        <v>64</v>
      </c>
      <c r="K616" s="7">
        <v>73.13</v>
      </c>
      <c r="L616" s="8">
        <v>896</v>
      </c>
      <c r="M616" s="8">
        <v>1023.8199999999999</v>
      </c>
      <c r="N616">
        <v>26</v>
      </c>
      <c r="O616" t="s">
        <v>124</v>
      </c>
      <c r="P616" t="s">
        <v>121</v>
      </c>
    </row>
    <row r="617" spans="1:16" x14ac:dyDescent="0.25">
      <c r="A617" s="10">
        <v>45377</v>
      </c>
      <c r="B617" s="1" t="s">
        <v>58</v>
      </c>
      <c r="C617" s="2">
        <v>5</v>
      </c>
      <c r="D617" s="1" t="s">
        <v>13</v>
      </c>
      <c r="E617" s="1" t="s">
        <v>13</v>
      </c>
      <c r="F617" s="3">
        <v>0</v>
      </c>
      <c r="G617" s="1" t="s">
        <v>59</v>
      </c>
      <c r="H617" s="1" t="s">
        <v>43</v>
      </c>
      <c r="I617" s="1" t="s">
        <v>26</v>
      </c>
      <c r="J617" s="7">
        <v>103</v>
      </c>
      <c r="K617" s="7">
        <v>121.51</v>
      </c>
      <c r="L617" s="8">
        <v>515</v>
      </c>
      <c r="M617" s="8">
        <v>607.55000000000007</v>
      </c>
      <c r="N617">
        <v>26</v>
      </c>
      <c r="O617" t="s">
        <v>124</v>
      </c>
      <c r="P617" t="s">
        <v>121</v>
      </c>
    </row>
    <row r="618" spans="1:16" x14ac:dyDescent="0.25">
      <c r="A618" s="10">
        <v>45378</v>
      </c>
      <c r="B618" s="1" t="s">
        <v>106</v>
      </c>
      <c r="C618" s="2">
        <v>3</v>
      </c>
      <c r="D618" s="1" t="s">
        <v>18</v>
      </c>
      <c r="E618" s="1" t="s">
        <v>13</v>
      </c>
      <c r="F618" s="3">
        <v>0</v>
      </c>
      <c r="G618" s="1" t="s">
        <v>107</v>
      </c>
      <c r="H618" s="1" t="s">
        <v>25</v>
      </c>
      <c r="I618" s="1" t="s">
        <v>21</v>
      </c>
      <c r="J618" s="7">
        <v>41</v>
      </c>
      <c r="K618" s="7">
        <v>46.18</v>
      </c>
      <c r="L618" s="8">
        <v>123</v>
      </c>
      <c r="M618" s="8">
        <v>138.54</v>
      </c>
      <c r="N618">
        <v>27</v>
      </c>
      <c r="O618" t="s">
        <v>124</v>
      </c>
      <c r="P618" t="s">
        <v>121</v>
      </c>
    </row>
    <row r="619" spans="1:16" x14ac:dyDescent="0.25">
      <c r="A619" s="10">
        <v>45379</v>
      </c>
      <c r="B619" s="1" t="s">
        <v>86</v>
      </c>
      <c r="C619" s="2">
        <v>4</v>
      </c>
      <c r="D619" s="1" t="s">
        <v>12</v>
      </c>
      <c r="E619" s="1" t="s">
        <v>23</v>
      </c>
      <c r="F619" s="3">
        <v>0</v>
      </c>
      <c r="G619" s="1" t="s">
        <v>87</v>
      </c>
      <c r="H619" s="1" t="s">
        <v>20</v>
      </c>
      <c r="I619" s="1" t="s">
        <v>21</v>
      </c>
      <c r="J619" s="7">
        <v>58</v>
      </c>
      <c r="K619" s="7">
        <v>67.400000000000006</v>
      </c>
      <c r="L619" s="8">
        <v>232</v>
      </c>
      <c r="M619" s="8">
        <v>269.60000000000002</v>
      </c>
      <c r="N619">
        <v>28</v>
      </c>
      <c r="O619" t="s">
        <v>124</v>
      </c>
      <c r="P619" t="s">
        <v>121</v>
      </c>
    </row>
    <row r="620" spans="1:16" x14ac:dyDescent="0.25">
      <c r="A620" s="10">
        <v>45380</v>
      </c>
      <c r="B620" s="1" t="s">
        <v>11</v>
      </c>
      <c r="C620" s="2">
        <v>11</v>
      </c>
      <c r="D620" s="1" t="s">
        <v>18</v>
      </c>
      <c r="E620" s="1" t="s">
        <v>23</v>
      </c>
      <c r="F620" s="3">
        <v>0</v>
      </c>
      <c r="G620" s="1" t="s">
        <v>14</v>
      </c>
      <c r="H620" s="1" t="s">
        <v>15</v>
      </c>
      <c r="I620" s="1" t="s">
        <v>16</v>
      </c>
      <c r="J620" s="7">
        <v>8</v>
      </c>
      <c r="K620" s="7">
        <v>9.31</v>
      </c>
      <c r="L620" s="8">
        <v>88</v>
      </c>
      <c r="M620" s="8">
        <v>102.41000000000001</v>
      </c>
      <c r="N620">
        <v>29</v>
      </c>
      <c r="O620" t="s">
        <v>124</v>
      </c>
      <c r="P620" t="s">
        <v>121</v>
      </c>
    </row>
    <row r="621" spans="1:16" x14ac:dyDescent="0.25">
      <c r="A621" s="10">
        <v>45381</v>
      </c>
      <c r="B621" s="1" t="s">
        <v>56</v>
      </c>
      <c r="C621" s="2">
        <v>6</v>
      </c>
      <c r="D621" s="1" t="s">
        <v>12</v>
      </c>
      <c r="E621" s="1" t="s">
        <v>13</v>
      </c>
      <c r="F621" s="3">
        <v>0</v>
      </c>
      <c r="G621" s="1" t="s">
        <v>57</v>
      </c>
      <c r="H621" s="1" t="s">
        <v>20</v>
      </c>
      <c r="I621" s="1" t="s">
        <v>26</v>
      </c>
      <c r="J621" s="7">
        <v>84</v>
      </c>
      <c r="K621" s="7">
        <v>97.84</v>
      </c>
      <c r="L621" s="8">
        <v>504</v>
      </c>
      <c r="M621" s="8">
        <v>587.04</v>
      </c>
      <c r="N621">
        <v>30</v>
      </c>
      <c r="O621" t="s">
        <v>124</v>
      </c>
      <c r="P621" t="s">
        <v>121</v>
      </c>
    </row>
    <row r="622" spans="1:16" x14ac:dyDescent="0.25">
      <c r="A622" s="10">
        <v>45383</v>
      </c>
      <c r="B622" s="1" t="s">
        <v>60</v>
      </c>
      <c r="C622" s="2">
        <v>5</v>
      </c>
      <c r="D622" s="1" t="s">
        <v>18</v>
      </c>
      <c r="E622" s="1" t="s">
        <v>23</v>
      </c>
      <c r="F622" s="3">
        <v>0</v>
      </c>
      <c r="G622" s="1" t="s">
        <v>61</v>
      </c>
      <c r="H622" s="1" t="s">
        <v>15</v>
      </c>
      <c r="I622" s="1" t="s">
        <v>26</v>
      </c>
      <c r="J622" s="7">
        <v>87</v>
      </c>
      <c r="K622" s="7">
        <v>97.41</v>
      </c>
      <c r="L622" s="8">
        <v>435</v>
      </c>
      <c r="M622" s="8">
        <v>487.04999999999995</v>
      </c>
      <c r="N622">
        <v>1</v>
      </c>
      <c r="O622" t="s">
        <v>125</v>
      </c>
      <c r="P622" t="s">
        <v>121</v>
      </c>
    </row>
    <row r="623" spans="1:16" x14ac:dyDescent="0.25">
      <c r="A623" s="10">
        <v>45383</v>
      </c>
      <c r="B623" s="1" t="s">
        <v>88</v>
      </c>
      <c r="C623" s="2">
        <v>3</v>
      </c>
      <c r="D623" s="1" t="s">
        <v>13</v>
      </c>
      <c r="E623" s="1" t="s">
        <v>23</v>
      </c>
      <c r="F623" s="3">
        <v>0</v>
      </c>
      <c r="G623" s="1" t="s">
        <v>89</v>
      </c>
      <c r="H623" s="1" t="s">
        <v>33</v>
      </c>
      <c r="I623" s="1" t="s">
        <v>26</v>
      </c>
      <c r="J623" s="7">
        <v>79</v>
      </c>
      <c r="K623" s="7">
        <v>86.44</v>
      </c>
      <c r="L623" s="8">
        <v>237</v>
      </c>
      <c r="M623" s="8">
        <v>259.32</v>
      </c>
      <c r="N623">
        <v>1</v>
      </c>
      <c r="O623" t="s">
        <v>125</v>
      </c>
      <c r="P623" t="s">
        <v>121</v>
      </c>
    </row>
    <row r="624" spans="1:16" x14ac:dyDescent="0.25">
      <c r="A624" s="10">
        <v>45383</v>
      </c>
      <c r="B624" s="1" t="s">
        <v>84</v>
      </c>
      <c r="C624" s="2">
        <v>1</v>
      </c>
      <c r="D624" s="1" t="s">
        <v>12</v>
      </c>
      <c r="E624" s="1" t="s">
        <v>13</v>
      </c>
      <c r="F624" s="3">
        <v>0.02</v>
      </c>
      <c r="G624" s="1" t="s">
        <v>85</v>
      </c>
      <c r="H624" s="1" t="s">
        <v>33</v>
      </c>
      <c r="I624" s="1" t="s">
        <v>38</v>
      </c>
      <c r="J624" s="7">
        <v>128</v>
      </c>
      <c r="K624" s="7">
        <v>144.97</v>
      </c>
      <c r="L624" s="8">
        <v>128</v>
      </c>
      <c r="M624" s="8">
        <v>144.97</v>
      </c>
      <c r="N624">
        <v>1</v>
      </c>
      <c r="O624" t="s">
        <v>125</v>
      </c>
      <c r="P624" t="s">
        <v>121</v>
      </c>
    </row>
    <row r="625" spans="1:16" x14ac:dyDescent="0.25">
      <c r="A625" s="10">
        <v>45384</v>
      </c>
      <c r="B625" s="1" t="s">
        <v>11</v>
      </c>
      <c r="C625" s="2">
        <v>7</v>
      </c>
      <c r="D625" s="1" t="s">
        <v>12</v>
      </c>
      <c r="E625" s="1" t="s">
        <v>23</v>
      </c>
      <c r="F625" s="3">
        <v>0.1</v>
      </c>
      <c r="G625" s="1" t="s">
        <v>14</v>
      </c>
      <c r="H625" s="1" t="s">
        <v>15</v>
      </c>
      <c r="I625" s="1" t="s">
        <v>16</v>
      </c>
      <c r="J625" s="7">
        <v>7</v>
      </c>
      <c r="K625" s="7">
        <v>7.19</v>
      </c>
      <c r="L625" s="8">
        <v>49</v>
      </c>
      <c r="M625" s="8">
        <v>50.330000000000005</v>
      </c>
      <c r="N625">
        <v>2</v>
      </c>
      <c r="O625" t="s">
        <v>125</v>
      </c>
      <c r="P625" t="s">
        <v>121</v>
      </c>
    </row>
    <row r="626" spans="1:16" x14ac:dyDescent="0.25">
      <c r="A626" s="10">
        <v>45385</v>
      </c>
      <c r="B626" s="1" t="s">
        <v>29</v>
      </c>
      <c r="C626" s="2">
        <v>11</v>
      </c>
      <c r="D626" s="1" t="s">
        <v>12</v>
      </c>
      <c r="E626" s="1" t="s">
        <v>13</v>
      </c>
      <c r="F626" s="3">
        <v>0</v>
      </c>
      <c r="G626" s="1" t="s">
        <v>30</v>
      </c>
      <c r="H626" s="1" t="s">
        <v>15</v>
      </c>
      <c r="I626" s="1" t="s">
        <v>16</v>
      </c>
      <c r="J626" s="7">
        <v>12</v>
      </c>
      <c r="K626" s="7">
        <v>13.76</v>
      </c>
      <c r="L626" s="8">
        <v>132</v>
      </c>
      <c r="M626" s="8">
        <v>151.35999999999999</v>
      </c>
      <c r="N626">
        <v>3</v>
      </c>
      <c r="O626" t="s">
        <v>125</v>
      </c>
      <c r="P626" t="s">
        <v>121</v>
      </c>
    </row>
    <row r="627" spans="1:16" x14ac:dyDescent="0.25">
      <c r="A627" s="10">
        <v>45387</v>
      </c>
      <c r="B627" s="1" t="s">
        <v>54</v>
      </c>
      <c r="C627" s="2">
        <v>3</v>
      </c>
      <c r="D627" s="1" t="s">
        <v>12</v>
      </c>
      <c r="E627" s="1" t="s">
        <v>13</v>
      </c>
      <c r="F627" s="3">
        <v>0</v>
      </c>
      <c r="G627" s="1" t="s">
        <v>55</v>
      </c>
      <c r="H627" s="1" t="s">
        <v>43</v>
      </c>
      <c r="I627" s="1" t="s">
        <v>26</v>
      </c>
      <c r="J627" s="7">
        <v>76</v>
      </c>
      <c r="K627" s="7">
        <v>83.05</v>
      </c>
      <c r="L627" s="8">
        <v>228</v>
      </c>
      <c r="M627" s="8">
        <v>249.14999999999998</v>
      </c>
      <c r="N627">
        <v>5</v>
      </c>
      <c r="O627" t="s">
        <v>125</v>
      </c>
      <c r="P627" t="s">
        <v>121</v>
      </c>
    </row>
    <row r="628" spans="1:16" x14ac:dyDescent="0.25">
      <c r="A628" s="10">
        <v>45388</v>
      </c>
      <c r="B628" s="1" t="s">
        <v>29</v>
      </c>
      <c r="C628" s="2">
        <v>5</v>
      </c>
      <c r="D628" s="1" t="s">
        <v>13</v>
      </c>
      <c r="E628" s="1" t="s">
        <v>13</v>
      </c>
      <c r="F628" s="3">
        <v>0</v>
      </c>
      <c r="G628" s="1" t="s">
        <v>30</v>
      </c>
      <c r="H628" s="1" t="s">
        <v>15</v>
      </c>
      <c r="I628" s="1" t="s">
        <v>16</v>
      </c>
      <c r="J628" s="7">
        <v>13</v>
      </c>
      <c r="K628" s="7">
        <v>14.08</v>
      </c>
      <c r="L628" s="8">
        <v>65</v>
      </c>
      <c r="M628" s="8">
        <v>70.400000000000006</v>
      </c>
      <c r="N628">
        <v>6</v>
      </c>
      <c r="O628" t="s">
        <v>125</v>
      </c>
      <c r="P628" t="s">
        <v>121</v>
      </c>
    </row>
    <row r="629" spans="1:16" x14ac:dyDescent="0.25">
      <c r="A629" s="10">
        <v>45389</v>
      </c>
      <c r="B629" s="1" t="s">
        <v>60</v>
      </c>
      <c r="C629" s="2">
        <v>14</v>
      </c>
      <c r="D629" s="1" t="s">
        <v>13</v>
      </c>
      <c r="E629" s="1" t="s">
        <v>23</v>
      </c>
      <c r="F629" s="3">
        <v>0</v>
      </c>
      <c r="G629" s="1" t="s">
        <v>61</v>
      </c>
      <c r="H629" s="1" t="s">
        <v>15</v>
      </c>
      <c r="I629" s="1" t="s">
        <v>26</v>
      </c>
      <c r="J629" s="7">
        <v>88</v>
      </c>
      <c r="K629" s="7">
        <v>96.82</v>
      </c>
      <c r="L629" s="8">
        <v>1232</v>
      </c>
      <c r="M629" s="8">
        <v>1355.48</v>
      </c>
      <c r="N629">
        <v>7</v>
      </c>
      <c r="O629" t="s">
        <v>125</v>
      </c>
      <c r="P629" t="s">
        <v>121</v>
      </c>
    </row>
    <row r="630" spans="1:16" x14ac:dyDescent="0.25">
      <c r="A630" s="10">
        <v>45389</v>
      </c>
      <c r="B630" s="1" t="s">
        <v>100</v>
      </c>
      <c r="C630" s="2">
        <v>7</v>
      </c>
      <c r="D630" s="1" t="s">
        <v>18</v>
      </c>
      <c r="E630" s="1" t="s">
        <v>13</v>
      </c>
      <c r="F630" s="3">
        <v>0</v>
      </c>
      <c r="G630" s="1" t="s">
        <v>101</v>
      </c>
      <c r="H630" s="1" t="s">
        <v>25</v>
      </c>
      <c r="I630" s="1" t="s">
        <v>26</v>
      </c>
      <c r="J630" s="7">
        <v>96</v>
      </c>
      <c r="K630" s="7">
        <v>111.63</v>
      </c>
      <c r="L630" s="8">
        <v>672</v>
      </c>
      <c r="M630" s="8">
        <v>781.41</v>
      </c>
      <c r="N630">
        <v>7</v>
      </c>
      <c r="O630" t="s">
        <v>125</v>
      </c>
      <c r="P630" t="s">
        <v>121</v>
      </c>
    </row>
    <row r="631" spans="1:16" x14ac:dyDescent="0.25">
      <c r="A631" s="10">
        <v>45390</v>
      </c>
      <c r="B631" s="1" t="s">
        <v>76</v>
      </c>
      <c r="C631" s="2">
        <v>3</v>
      </c>
      <c r="D631" s="1" t="s">
        <v>13</v>
      </c>
      <c r="E631" s="1" t="s">
        <v>23</v>
      </c>
      <c r="F631" s="3">
        <v>0</v>
      </c>
      <c r="G631" s="1" t="s">
        <v>77</v>
      </c>
      <c r="H631" s="1" t="s">
        <v>25</v>
      </c>
      <c r="I631" s="1" t="s">
        <v>26</v>
      </c>
      <c r="J631" s="7">
        <v>114</v>
      </c>
      <c r="K631" s="7">
        <v>133.82</v>
      </c>
      <c r="L631" s="8">
        <v>342</v>
      </c>
      <c r="M631" s="8">
        <v>401.46</v>
      </c>
      <c r="N631">
        <v>8</v>
      </c>
      <c r="O631" t="s">
        <v>125</v>
      </c>
      <c r="P631" t="s">
        <v>121</v>
      </c>
    </row>
    <row r="632" spans="1:16" x14ac:dyDescent="0.25">
      <c r="A632" s="10">
        <v>45390</v>
      </c>
      <c r="B632" s="1" t="s">
        <v>70</v>
      </c>
      <c r="C632" s="2">
        <v>14</v>
      </c>
      <c r="D632" s="1" t="s">
        <v>18</v>
      </c>
      <c r="E632" s="1" t="s">
        <v>13</v>
      </c>
      <c r="F632" s="3">
        <v>0</v>
      </c>
      <c r="G632" s="1" t="s">
        <v>71</v>
      </c>
      <c r="H632" s="1" t="s">
        <v>43</v>
      </c>
      <c r="I632" s="1" t="s">
        <v>21</v>
      </c>
      <c r="J632" s="7">
        <v>56</v>
      </c>
      <c r="K632" s="7">
        <v>62.48</v>
      </c>
      <c r="L632" s="8">
        <v>784</v>
      </c>
      <c r="M632" s="8">
        <v>874.71999999999991</v>
      </c>
      <c r="N632">
        <v>8</v>
      </c>
      <c r="O632" t="s">
        <v>125</v>
      </c>
      <c r="P632" t="s">
        <v>121</v>
      </c>
    </row>
    <row r="633" spans="1:16" x14ac:dyDescent="0.25">
      <c r="A633" s="10">
        <v>45393</v>
      </c>
      <c r="B633" s="1" t="s">
        <v>78</v>
      </c>
      <c r="C633" s="2">
        <v>10</v>
      </c>
      <c r="D633" s="1" t="s">
        <v>12</v>
      </c>
      <c r="E633" s="1" t="s">
        <v>13</v>
      </c>
      <c r="F633" s="3">
        <v>0.02</v>
      </c>
      <c r="G633" s="1" t="s">
        <v>79</v>
      </c>
      <c r="H633" s="1" t="s">
        <v>33</v>
      </c>
      <c r="I633" s="1" t="s">
        <v>21</v>
      </c>
      <c r="J633" s="7">
        <v>43</v>
      </c>
      <c r="K633" s="7">
        <v>46.8</v>
      </c>
      <c r="L633" s="8">
        <v>430</v>
      </c>
      <c r="M633" s="8">
        <v>468</v>
      </c>
      <c r="N633">
        <v>11</v>
      </c>
      <c r="O633" t="s">
        <v>125</v>
      </c>
      <c r="P633" t="s">
        <v>121</v>
      </c>
    </row>
    <row r="634" spans="1:16" x14ac:dyDescent="0.25">
      <c r="A634" s="10">
        <v>45393</v>
      </c>
      <c r="B634" s="1" t="s">
        <v>104</v>
      </c>
      <c r="C634" s="2">
        <v>9</v>
      </c>
      <c r="D634" s="1" t="s">
        <v>13</v>
      </c>
      <c r="E634" s="1" t="s">
        <v>23</v>
      </c>
      <c r="F634" s="3">
        <v>0</v>
      </c>
      <c r="G634" s="1" t="s">
        <v>105</v>
      </c>
      <c r="H634" s="1" t="s">
        <v>33</v>
      </c>
      <c r="I634" s="1" t="s">
        <v>26</v>
      </c>
      <c r="J634" s="7">
        <v>96</v>
      </c>
      <c r="K634" s="7">
        <v>107.96</v>
      </c>
      <c r="L634" s="8">
        <v>864</v>
      </c>
      <c r="M634" s="8">
        <v>971.64</v>
      </c>
      <c r="N634">
        <v>11</v>
      </c>
      <c r="O634" t="s">
        <v>125</v>
      </c>
      <c r="P634" t="s">
        <v>121</v>
      </c>
    </row>
    <row r="635" spans="1:16" x14ac:dyDescent="0.25">
      <c r="A635" s="10">
        <v>45393</v>
      </c>
      <c r="B635" s="1" t="s">
        <v>92</v>
      </c>
      <c r="C635" s="2">
        <v>9</v>
      </c>
      <c r="D635" s="1" t="s">
        <v>13</v>
      </c>
      <c r="E635" s="1" t="s">
        <v>13</v>
      </c>
      <c r="F635" s="3">
        <v>0</v>
      </c>
      <c r="G635" s="1" t="s">
        <v>93</v>
      </c>
      <c r="H635" s="1" t="s">
        <v>33</v>
      </c>
      <c r="I635" s="1" t="s">
        <v>26</v>
      </c>
      <c r="J635" s="7">
        <v>79</v>
      </c>
      <c r="K635" s="7">
        <v>88.98</v>
      </c>
      <c r="L635" s="8">
        <v>711</v>
      </c>
      <c r="M635" s="8">
        <v>800.82</v>
      </c>
      <c r="N635">
        <v>11</v>
      </c>
      <c r="O635" t="s">
        <v>125</v>
      </c>
      <c r="P635" t="s">
        <v>121</v>
      </c>
    </row>
    <row r="636" spans="1:16" x14ac:dyDescent="0.25">
      <c r="A636" s="10">
        <v>45396</v>
      </c>
      <c r="B636" s="1" t="s">
        <v>64</v>
      </c>
      <c r="C636" s="2">
        <v>7</v>
      </c>
      <c r="D636" s="1" t="s">
        <v>18</v>
      </c>
      <c r="E636" s="1" t="s">
        <v>13</v>
      </c>
      <c r="F636" s="3">
        <v>0</v>
      </c>
      <c r="G636" s="1" t="s">
        <v>65</v>
      </c>
      <c r="H636" s="1" t="s">
        <v>25</v>
      </c>
      <c r="I636" s="1" t="s">
        <v>26</v>
      </c>
      <c r="J636" s="7">
        <v>64</v>
      </c>
      <c r="K636" s="7">
        <v>71.63</v>
      </c>
      <c r="L636" s="8">
        <v>448</v>
      </c>
      <c r="M636" s="8">
        <v>501.40999999999997</v>
      </c>
      <c r="N636">
        <v>14</v>
      </c>
      <c r="O636" t="s">
        <v>125</v>
      </c>
      <c r="P636" t="s">
        <v>121</v>
      </c>
    </row>
    <row r="637" spans="1:16" x14ac:dyDescent="0.25">
      <c r="A637" s="10">
        <v>45398</v>
      </c>
      <c r="B637" s="1" t="s">
        <v>22</v>
      </c>
      <c r="C637" s="2">
        <v>10</v>
      </c>
      <c r="D637" s="1" t="s">
        <v>12</v>
      </c>
      <c r="E637" s="1" t="s">
        <v>13</v>
      </c>
      <c r="F637" s="3">
        <v>0.05</v>
      </c>
      <c r="G637" s="1" t="s">
        <v>24</v>
      </c>
      <c r="H637" s="1" t="s">
        <v>25</v>
      </c>
      <c r="I637" s="1" t="s">
        <v>26</v>
      </c>
      <c r="J637" s="7">
        <v>115</v>
      </c>
      <c r="K637" s="7">
        <v>124.7</v>
      </c>
      <c r="L637" s="8">
        <v>1150</v>
      </c>
      <c r="M637" s="8">
        <v>1247</v>
      </c>
      <c r="N637">
        <v>16</v>
      </c>
      <c r="O637" t="s">
        <v>125</v>
      </c>
      <c r="P637" t="s">
        <v>121</v>
      </c>
    </row>
    <row r="638" spans="1:16" x14ac:dyDescent="0.25">
      <c r="A638" s="10">
        <v>45399</v>
      </c>
      <c r="B638" s="1" t="s">
        <v>29</v>
      </c>
      <c r="C638" s="2">
        <v>9</v>
      </c>
      <c r="D638" s="1" t="s">
        <v>13</v>
      </c>
      <c r="E638" s="1" t="s">
        <v>13</v>
      </c>
      <c r="F638" s="3">
        <v>0</v>
      </c>
      <c r="G638" s="1" t="s">
        <v>30</v>
      </c>
      <c r="H638" s="1" t="s">
        <v>15</v>
      </c>
      <c r="I638" s="1" t="s">
        <v>16</v>
      </c>
      <c r="J638" s="7">
        <v>13</v>
      </c>
      <c r="K638" s="7">
        <v>14.3</v>
      </c>
      <c r="L638" s="8">
        <v>117</v>
      </c>
      <c r="M638" s="8">
        <v>128.70000000000002</v>
      </c>
      <c r="N638">
        <v>17</v>
      </c>
      <c r="O638" t="s">
        <v>125</v>
      </c>
      <c r="P638" t="s">
        <v>121</v>
      </c>
    </row>
    <row r="639" spans="1:16" x14ac:dyDescent="0.25">
      <c r="A639" s="10">
        <v>45399</v>
      </c>
      <c r="B639" s="1" t="s">
        <v>76</v>
      </c>
      <c r="C639" s="2">
        <v>2</v>
      </c>
      <c r="D639" s="1" t="s">
        <v>12</v>
      </c>
      <c r="E639" s="1" t="s">
        <v>23</v>
      </c>
      <c r="F639" s="3">
        <v>0.05</v>
      </c>
      <c r="G639" s="1" t="s">
        <v>77</v>
      </c>
      <c r="H639" s="1" t="s">
        <v>25</v>
      </c>
      <c r="I639" s="1" t="s">
        <v>26</v>
      </c>
      <c r="J639" s="7">
        <v>115</v>
      </c>
      <c r="K639" s="7">
        <v>120.43</v>
      </c>
      <c r="L639" s="8">
        <v>230</v>
      </c>
      <c r="M639" s="8">
        <v>240.86</v>
      </c>
      <c r="N639">
        <v>17</v>
      </c>
      <c r="O639" t="s">
        <v>125</v>
      </c>
      <c r="P639" t="s">
        <v>121</v>
      </c>
    </row>
    <row r="640" spans="1:16" x14ac:dyDescent="0.25">
      <c r="A640" s="10">
        <v>45400</v>
      </c>
      <c r="B640" s="1" t="s">
        <v>70</v>
      </c>
      <c r="C640" s="2">
        <v>12</v>
      </c>
      <c r="D640" s="1" t="s">
        <v>13</v>
      </c>
      <c r="E640" s="1" t="s">
        <v>23</v>
      </c>
      <c r="F640" s="3">
        <v>0</v>
      </c>
      <c r="G640" s="1" t="s">
        <v>71</v>
      </c>
      <c r="H640" s="1" t="s">
        <v>43</v>
      </c>
      <c r="I640" s="1" t="s">
        <v>21</v>
      </c>
      <c r="J640" s="7">
        <v>56</v>
      </c>
      <c r="K640" s="7">
        <v>63.07</v>
      </c>
      <c r="L640" s="8">
        <v>672</v>
      </c>
      <c r="M640" s="8">
        <v>756.84</v>
      </c>
      <c r="N640">
        <v>18</v>
      </c>
      <c r="O640" t="s">
        <v>125</v>
      </c>
      <c r="P640" t="s">
        <v>121</v>
      </c>
    </row>
    <row r="641" spans="1:16" x14ac:dyDescent="0.25">
      <c r="A641" s="10">
        <v>45400</v>
      </c>
      <c r="B641" s="1" t="s">
        <v>80</v>
      </c>
      <c r="C641" s="2">
        <v>11</v>
      </c>
      <c r="D641" s="1" t="s">
        <v>13</v>
      </c>
      <c r="E641" s="1" t="s">
        <v>23</v>
      </c>
      <c r="F641" s="3">
        <v>0</v>
      </c>
      <c r="G641" s="1" t="s">
        <v>81</v>
      </c>
      <c r="H641" s="1" t="s">
        <v>20</v>
      </c>
      <c r="I641" s="1" t="s">
        <v>26</v>
      </c>
      <c r="J641" s="7">
        <v>96</v>
      </c>
      <c r="K641" s="7">
        <v>107.9</v>
      </c>
      <c r="L641" s="8">
        <v>1056</v>
      </c>
      <c r="M641" s="8">
        <v>1186.9000000000001</v>
      </c>
      <c r="N641">
        <v>18</v>
      </c>
      <c r="O641" t="s">
        <v>125</v>
      </c>
      <c r="P641" t="s">
        <v>121</v>
      </c>
    </row>
    <row r="642" spans="1:16" x14ac:dyDescent="0.25">
      <c r="A642" s="10">
        <v>45401</v>
      </c>
      <c r="B642" s="1" t="s">
        <v>36</v>
      </c>
      <c r="C642" s="2">
        <v>10</v>
      </c>
      <c r="D642" s="1" t="s">
        <v>13</v>
      </c>
      <c r="E642" s="1" t="s">
        <v>23</v>
      </c>
      <c r="F642" s="3">
        <v>0</v>
      </c>
      <c r="G642" s="1" t="s">
        <v>37</v>
      </c>
      <c r="H642" s="1" t="s">
        <v>15</v>
      </c>
      <c r="I642" s="1" t="s">
        <v>38</v>
      </c>
      <c r="J642" s="7">
        <v>147</v>
      </c>
      <c r="K642" s="7">
        <v>164.48</v>
      </c>
      <c r="L642" s="8">
        <v>1470</v>
      </c>
      <c r="M642" s="8">
        <v>1644.8</v>
      </c>
      <c r="N642">
        <v>19</v>
      </c>
      <c r="O642" t="s">
        <v>125</v>
      </c>
      <c r="P642" t="s">
        <v>121</v>
      </c>
    </row>
    <row r="643" spans="1:16" x14ac:dyDescent="0.25">
      <c r="A643" s="10">
        <v>45401</v>
      </c>
      <c r="B643" s="1" t="s">
        <v>27</v>
      </c>
      <c r="C643" s="2">
        <v>4</v>
      </c>
      <c r="D643" s="1" t="s">
        <v>13</v>
      </c>
      <c r="E643" s="1" t="s">
        <v>13</v>
      </c>
      <c r="F643" s="3">
        <v>0</v>
      </c>
      <c r="G643" s="1" t="s">
        <v>28</v>
      </c>
      <c r="H643" s="1" t="s">
        <v>25</v>
      </c>
      <c r="I643" s="1" t="s">
        <v>26</v>
      </c>
      <c r="J643" s="7">
        <v>51</v>
      </c>
      <c r="K643" s="7">
        <v>59.33</v>
      </c>
      <c r="L643" s="8">
        <v>204</v>
      </c>
      <c r="M643" s="8">
        <v>237.32</v>
      </c>
      <c r="N643">
        <v>19</v>
      </c>
      <c r="O643" t="s">
        <v>125</v>
      </c>
      <c r="P643" t="s">
        <v>121</v>
      </c>
    </row>
    <row r="644" spans="1:16" x14ac:dyDescent="0.25">
      <c r="A644" s="10">
        <v>45401</v>
      </c>
      <c r="B644" s="1" t="s">
        <v>104</v>
      </c>
      <c r="C644" s="2">
        <v>6</v>
      </c>
      <c r="D644" s="1" t="s">
        <v>13</v>
      </c>
      <c r="E644" s="1" t="s">
        <v>23</v>
      </c>
      <c r="F644" s="3">
        <v>0</v>
      </c>
      <c r="G644" s="1" t="s">
        <v>105</v>
      </c>
      <c r="H644" s="1" t="s">
        <v>33</v>
      </c>
      <c r="I644" s="1" t="s">
        <v>26</v>
      </c>
      <c r="J644" s="7">
        <v>96</v>
      </c>
      <c r="K644" s="7">
        <v>111.73</v>
      </c>
      <c r="L644" s="8">
        <v>576</v>
      </c>
      <c r="M644" s="8">
        <v>670.38</v>
      </c>
      <c r="N644">
        <v>19</v>
      </c>
      <c r="O644" t="s">
        <v>125</v>
      </c>
      <c r="P644" t="s">
        <v>121</v>
      </c>
    </row>
    <row r="645" spans="1:16" x14ac:dyDescent="0.25">
      <c r="A645" s="10">
        <v>45402</v>
      </c>
      <c r="B645" s="1" t="s">
        <v>34</v>
      </c>
      <c r="C645" s="2">
        <v>8</v>
      </c>
      <c r="D645" s="1" t="s">
        <v>13</v>
      </c>
      <c r="E645" s="1" t="s">
        <v>23</v>
      </c>
      <c r="F645" s="3">
        <v>0</v>
      </c>
      <c r="G645" s="1" t="s">
        <v>35</v>
      </c>
      <c r="H645" s="1" t="s">
        <v>20</v>
      </c>
      <c r="I645" s="1" t="s">
        <v>16</v>
      </c>
      <c r="J645" s="7">
        <v>5</v>
      </c>
      <c r="K645" s="7">
        <v>5.76</v>
      </c>
      <c r="L645" s="8">
        <v>40</v>
      </c>
      <c r="M645" s="8">
        <v>46.08</v>
      </c>
      <c r="N645">
        <v>20</v>
      </c>
      <c r="O645" t="s">
        <v>125</v>
      </c>
      <c r="P645" t="s">
        <v>121</v>
      </c>
    </row>
    <row r="646" spans="1:16" x14ac:dyDescent="0.25">
      <c r="A646" s="10">
        <v>45403</v>
      </c>
      <c r="B646" s="1" t="s">
        <v>64</v>
      </c>
      <c r="C646" s="2">
        <v>9</v>
      </c>
      <c r="D646" s="1" t="s">
        <v>18</v>
      </c>
      <c r="E646" s="1" t="s">
        <v>13</v>
      </c>
      <c r="F646" s="3">
        <v>0</v>
      </c>
      <c r="G646" s="1" t="s">
        <v>65</v>
      </c>
      <c r="H646" s="1" t="s">
        <v>25</v>
      </c>
      <c r="I646" s="1" t="s">
        <v>26</v>
      </c>
      <c r="J646" s="7">
        <v>66</v>
      </c>
      <c r="K646" s="7">
        <v>77.66</v>
      </c>
      <c r="L646" s="8">
        <v>594</v>
      </c>
      <c r="M646" s="8">
        <v>698.93999999999994</v>
      </c>
      <c r="N646">
        <v>21</v>
      </c>
      <c r="O646" t="s">
        <v>125</v>
      </c>
      <c r="P646" t="s">
        <v>121</v>
      </c>
    </row>
    <row r="647" spans="1:16" x14ac:dyDescent="0.25">
      <c r="A647" s="10">
        <v>45404</v>
      </c>
      <c r="B647" s="1" t="s">
        <v>92</v>
      </c>
      <c r="C647" s="2">
        <v>1</v>
      </c>
      <c r="D647" s="1" t="s">
        <v>18</v>
      </c>
      <c r="E647" s="1" t="s">
        <v>23</v>
      </c>
      <c r="F647" s="3">
        <v>0.02</v>
      </c>
      <c r="G647" s="1" t="s">
        <v>93</v>
      </c>
      <c r="H647" s="1" t="s">
        <v>33</v>
      </c>
      <c r="I647" s="1" t="s">
        <v>26</v>
      </c>
      <c r="J647" s="7">
        <v>79</v>
      </c>
      <c r="K647" s="7">
        <v>87.29</v>
      </c>
      <c r="L647" s="8">
        <v>79</v>
      </c>
      <c r="M647" s="8">
        <v>87.29</v>
      </c>
      <c r="N647">
        <v>22</v>
      </c>
      <c r="O647" t="s">
        <v>125</v>
      </c>
      <c r="P647" t="s">
        <v>121</v>
      </c>
    </row>
    <row r="648" spans="1:16" x14ac:dyDescent="0.25">
      <c r="A648" s="10">
        <v>45405</v>
      </c>
      <c r="B648" s="1" t="s">
        <v>50</v>
      </c>
      <c r="C648" s="2">
        <v>2</v>
      </c>
      <c r="D648" s="1" t="s">
        <v>12</v>
      </c>
      <c r="E648" s="1" t="s">
        <v>23</v>
      </c>
      <c r="F648" s="3">
        <v>0</v>
      </c>
      <c r="G648" s="1" t="s">
        <v>51</v>
      </c>
      <c r="H648" s="1" t="s">
        <v>33</v>
      </c>
      <c r="I648" s="1" t="s">
        <v>26</v>
      </c>
      <c r="J648" s="7">
        <v>111</v>
      </c>
      <c r="K648" s="7">
        <v>123.2</v>
      </c>
      <c r="L648" s="8">
        <v>222</v>
      </c>
      <c r="M648" s="8">
        <v>246.4</v>
      </c>
      <c r="N648">
        <v>23</v>
      </c>
      <c r="O648" t="s">
        <v>125</v>
      </c>
      <c r="P648" t="s">
        <v>121</v>
      </c>
    </row>
    <row r="649" spans="1:16" x14ac:dyDescent="0.25">
      <c r="A649" s="10">
        <v>45405</v>
      </c>
      <c r="B649" s="1" t="s">
        <v>17</v>
      </c>
      <c r="C649" s="2">
        <v>3</v>
      </c>
      <c r="D649" s="1" t="s">
        <v>13</v>
      </c>
      <c r="E649" s="1" t="s">
        <v>23</v>
      </c>
      <c r="F649" s="3">
        <v>0</v>
      </c>
      <c r="G649" s="1" t="s">
        <v>19</v>
      </c>
      <c r="H649" s="1" t="s">
        <v>20</v>
      </c>
      <c r="I649" s="1" t="s">
        <v>21</v>
      </c>
      <c r="J649" s="7">
        <v>52</v>
      </c>
      <c r="K649" s="7">
        <v>57.57</v>
      </c>
      <c r="L649" s="8">
        <v>156</v>
      </c>
      <c r="M649" s="8">
        <v>172.71</v>
      </c>
      <c r="N649">
        <v>23</v>
      </c>
      <c r="O649" t="s">
        <v>125</v>
      </c>
      <c r="P649" t="s">
        <v>121</v>
      </c>
    </row>
    <row r="650" spans="1:16" x14ac:dyDescent="0.25">
      <c r="A650" s="10">
        <v>45406</v>
      </c>
      <c r="B650" s="1" t="s">
        <v>96</v>
      </c>
      <c r="C650" s="2">
        <v>1</v>
      </c>
      <c r="D650" s="1" t="s">
        <v>13</v>
      </c>
      <c r="E650" s="1" t="s">
        <v>13</v>
      </c>
      <c r="F650" s="3">
        <v>0</v>
      </c>
      <c r="G650" s="1" t="s">
        <v>97</v>
      </c>
      <c r="H650" s="1" t="s">
        <v>20</v>
      </c>
      <c r="I650" s="1" t="s">
        <v>21</v>
      </c>
      <c r="J650" s="7">
        <v>59</v>
      </c>
      <c r="K650" s="7">
        <v>66.67</v>
      </c>
      <c r="L650" s="8">
        <v>59</v>
      </c>
      <c r="M650" s="8">
        <v>66.67</v>
      </c>
      <c r="N650">
        <v>24</v>
      </c>
      <c r="O650" t="s">
        <v>125</v>
      </c>
      <c r="P650" t="s">
        <v>121</v>
      </c>
    </row>
    <row r="651" spans="1:16" x14ac:dyDescent="0.25">
      <c r="A651" s="10">
        <v>45406</v>
      </c>
      <c r="B651" s="1" t="s">
        <v>92</v>
      </c>
      <c r="C651" s="2">
        <v>3</v>
      </c>
      <c r="D651" s="1" t="s">
        <v>18</v>
      </c>
      <c r="E651" s="1" t="s">
        <v>23</v>
      </c>
      <c r="F651" s="3">
        <v>0</v>
      </c>
      <c r="G651" s="1" t="s">
        <v>93</v>
      </c>
      <c r="H651" s="1" t="s">
        <v>33</v>
      </c>
      <c r="I651" s="1" t="s">
        <v>26</v>
      </c>
      <c r="J651" s="7">
        <v>76</v>
      </c>
      <c r="K651" s="7">
        <v>88.51</v>
      </c>
      <c r="L651" s="8">
        <v>228</v>
      </c>
      <c r="M651" s="8">
        <v>265.53000000000003</v>
      </c>
      <c r="N651">
        <v>24</v>
      </c>
      <c r="O651" t="s">
        <v>125</v>
      </c>
      <c r="P651" t="s">
        <v>121</v>
      </c>
    </row>
    <row r="652" spans="1:16" x14ac:dyDescent="0.25">
      <c r="A652" s="10">
        <v>45407</v>
      </c>
      <c r="B652" s="1" t="s">
        <v>58</v>
      </c>
      <c r="C652" s="2">
        <v>15</v>
      </c>
      <c r="D652" s="1" t="s">
        <v>13</v>
      </c>
      <c r="E652" s="1" t="s">
        <v>13</v>
      </c>
      <c r="F652" s="3">
        <v>0</v>
      </c>
      <c r="G652" s="1" t="s">
        <v>59</v>
      </c>
      <c r="H652" s="1" t="s">
        <v>43</v>
      </c>
      <c r="I652" s="1" t="s">
        <v>26</v>
      </c>
      <c r="J652" s="7">
        <v>102</v>
      </c>
      <c r="K652" s="7">
        <v>114.58</v>
      </c>
      <c r="L652" s="8">
        <v>1530</v>
      </c>
      <c r="M652" s="8">
        <v>1718.7</v>
      </c>
      <c r="N652">
        <v>25</v>
      </c>
      <c r="O652" t="s">
        <v>125</v>
      </c>
      <c r="P652" t="s">
        <v>121</v>
      </c>
    </row>
    <row r="653" spans="1:16" x14ac:dyDescent="0.25">
      <c r="A653" s="10">
        <v>45408</v>
      </c>
      <c r="B653" s="1" t="s">
        <v>17</v>
      </c>
      <c r="C653" s="2">
        <v>1</v>
      </c>
      <c r="D653" s="1" t="s">
        <v>13</v>
      </c>
      <c r="E653" s="1" t="s">
        <v>13</v>
      </c>
      <c r="F653" s="3">
        <v>0</v>
      </c>
      <c r="G653" s="1" t="s">
        <v>19</v>
      </c>
      <c r="H653" s="1" t="s">
        <v>20</v>
      </c>
      <c r="I653" s="1" t="s">
        <v>21</v>
      </c>
      <c r="J653" s="7">
        <v>50</v>
      </c>
      <c r="K653" s="7">
        <v>57.01</v>
      </c>
      <c r="L653" s="8">
        <v>50</v>
      </c>
      <c r="M653" s="8">
        <v>57.01</v>
      </c>
      <c r="N653">
        <v>26</v>
      </c>
      <c r="O653" t="s">
        <v>125</v>
      </c>
      <c r="P653" t="s">
        <v>121</v>
      </c>
    </row>
    <row r="654" spans="1:16" x14ac:dyDescent="0.25">
      <c r="A654" s="10">
        <v>45409</v>
      </c>
      <c r="B654" s="1" t="s">
        <v>72</v>
      </c>
      <c r="C654" s="2">
        <v>2</v>
      </c>
      <c r="D654" s="1" t="s">
        <v>13</v>
      </c>
      <c r="E654" s="1" t="s">
        <v>13</v>
      </c>
      <c r="F654" s="3">
        <v>0</v>
      </c>
      <c r="G654" s="1" t="s">
        <v>73</v>
      </c>
      <c r="H654" s="1" t="s">
        <v>33</v>
      </c>
      <c r="I654" s="1" t="s">
        <v>26</v>
      </c>
      <c r="J654" s="7">
        <v>72</v>
      </c>
      <c r="K654" s="7">
        <v>82.46</v>
      </c>
      <c r="L654" s="8">
        <v>144</v>
      </c>
      <c r="M654" s="8">
        <v>164.92</v>
      </c>
      <c r="N654">
        <v>27</v>
      </c>
      <c r="O654" t="s">
        <v>125</v>
      </c>
      <c r="P654" t="s">
        <v>121</v>
      </c>
    </row>
    <row r="655" spans="1:16" x14ac:dyDescent="0.25">
      <c r="A655" s="10">
        <v>45409</v>
      </c>
      <c r="B655" s="1" t="s">
        <v>110</v>
      </c>
      <c r="C655" s="2">
        <v>3</v>
      </c>
      <c r="D655" s="1" t="s">
        <v>18</v>
      </c>
      <c r="E655" s="1" t="s">
        <v>13</v>
      </c>
      <c r="F655" s="3">
        <v>0</v>
      </c>
      <c r="G655" s="1" t="s">
        <v>111</v>
      </c>
      <c r="H655" s="1" t="s">
        <v>25</v>
      </c>
      <c r="I655" s="1" t="s">
        <v>26</v>
      </c>
      <c r="J655" s="7">
        <v>117</v>
      </c>
      <c r="K655" s="7">
        <v>127.72</v>
      </c>
      <c r="L655" s="8">
        <v>351</v>
      </c>
      <c r="M655" s="8">
        <v>383.15999999999997</v>
      </c>
      <c r="N655">
        <v>27</v>
      </c>
      <c r="O655" t="s">
        <v>125</v>
      </c>
      <c r="P655" t="s">
        <v>121</v>
      </c>
    </row>
    <row r="656" spans="1:16" x14ac:dyDescent="0.25">
      <c r="A656" s="10">
        <v>45410</v>
      </c>
      <c r="B656" s="1" t="s">
        <v>34</v>
      </c>
      <c r="C656" s="2">
        <v>8</v>
      </c>
      <c r="D656" s="1" t="s">
        <v>12</v>
      </c>
      <c r="E656" s="1" t="s">
        <v>23</v>
      </c>
      <c r="F656" s="3">
        <v>0</v>
      </c>
      <c r="G656" s="1" t="s">
        <v>35</v>
      </c>
      <c r="H656" s="1" t="s">
        <v>20</v>
      </c>
      <c r="I656" s="1" t="s">
        <v>16</v>
      </c>
      <c r="J656" s="7">
        <v>5</v>
      </c>
      <c r="K656" s="7">
        <v>5.55</v>
      </c>
      <c r="L656" s="8">
        <v>40</v>
      </c>
      <c r="M656" s="8">
        <v>44.4</v>
      </c>
      <c r="N656">
        <v>28</v>
      </c>
      <c r="O656" t="s">
        <v>125</v>
      </c>
      <c r="P656" t="s">
        <v>121</v>
      </c>
    </row>
    <row r="657" spans="1:16" x14ac:dyDescent="0.25">
      <c r="A657" s="10">
        <v>45410</v>
      </c>
      <c r="B657" s="1" t="s">
        <v>102</v>
      </c>
      <c r="C657" s="2">
        <v>3</v>
      </c>
      <c r="D657" s="1" t="s">
        <v>13</v>
      </c>
      <c r="E657" s="1" t="s">
        <v>23</v>
      </c>
      <c r="F657" s="3">
        <v>0</v>
      </c>
      <c r="G657" s="1" t="s">
        <v>103</v>
      </c>
      <c r="H657" s="1" t="s">
        <v>15</v>
      </c>
      <c r="I657" s="1" t="s">
        <v>38</v>
      </c>
      <c r="J657" s="7">
        <v>155</v>
      </c>
      <c r="K657" s="7">
        <v>174.24</v>
      </c>
      <c r="L657" s="8">
        <v>465</v>
      </c>
      <c r="M657" s="8">
        <v>522.72</v>
      </c>
      <c r="N657">
        <v>28</v>
      </c>
      <c r="O657" t="s">
        <v>125</v>
      </c>
      <c r="P657" t="s">
        <v>121</v>
      </c>
    </row>
    <row r="658" spans="1:16" x14ac:dyDescent="0.25">
      <c r="A658" s="10">
        <v>45411</v>
      </c>
      <c r="B658" s="1" t="s">
        <v>70</v>
      </c>
      <c r="C658" s="2">
        <v>4</v>
      </c>
      <c r="D658" s="1" t="s">
        <v>12</v>
      </c>
      <c r="E658" s="1" t="s">
        <v>13</v>
      </c>
      <c r="F658" s="3">
        <v>0</v>
      </c>
      <c r="G658" s="1" t="s">
        <v>71</v>
      </c>
      <c r="H658" s="1" t="s">
        <v>43</v>
      </c>
      <c r="I658" s="1" t="s">
        <v>21</v>
      </c>
      <c r="J658" s="7">
        <v>54</v>
      </c>
      <c r="K658" s="7">
        <v>60.64</v>
      </c>
      <c r="L658" s="8">
        <v>216</v>
      </c>
      <c r="M658" s="8">
        <v>242.56</v>
      </c>
      <c r="N658">
        <v>29</v>
      </c>
      <c r="O658" t="s">
        <v>125</v>
      </c>
      <c r="P658" t="s">
        <v>121</v>
      </c>
    </row>
    <row r="659" spans="1:16" x14ac:dyDescent="0.25">
      <c r="A659" s="10">
        <v>45411</v>
      </c>
      <c r="B659" s="1" t="s">
        <v>76</v>
      </c>
      <c r="C659" s="2">
        <v>7</v>
      </c>
      <c r="D659" s="1" t="s">
        <v>13</v>
      </c>
      <c r="E659" s="1" t="s">
        <v>13</v>
      </c>
      <c r="F659" s="3">
        <v>0</v>
      </c>
      <c r="G659" s="1" t="s">
        <v>77</v>
      </c>
      <c r="H659" s="1" t="s">
        <v>25</v>
      </c>
      <c r="I659" s="1" t="s">
        <v>26</v>
      </c>
      <c r="J659" s="7">
        <v>115</v>
      </c>
      <c r="K659" s="7">
        <v>127.38</v>
      </c>
      <c r="L659" s="8">
        <v>805</v>
      </c>
      <c r="M659" s="8">
        <v>891.66</v>
      </c>
      <c r="N659">
        <v>29</v>
      </c>
      <c r="O659" t="s">
        <v>125</v>
      </c>
      <c r="P659" t="s">
        <v>121</v>
      </c>
    </row>
    <row r="660" spans="1:16" x14ac:dyDescent="0.25">
      <c r="A660" s="10">
        <v>45411</v>
      </c>
      <c r="B660" s="1" t="s">
        <v>11</v>
      </c>
      <c r="C660" s="2">
        <v>4</v>
      </c>
      <c r="D660" s="1" t="s">
        <v>12</v>
      </c>
      <c r="E660" s="1" t="s">
        <v>23</v>
      </c>
      <c r="F660" s="3">
        <v>0</v>
      </c>
      <c r="G660" s="1" t="s">
        <v>14</v>
      </c>
      <c r="H660" s="1" t="s">
        <v>15</v>
      </c>
      <c r="I660" s="1" t="s">
        <v>16</v>
      </c>
      <c r="J660" s="7">
        <v>7</v>
      </c>
      <c r="K660" s="7">
        <v>8.23</v>
      </c>
      <c r="L660" s="8">
        <v>28</v>
      </c>
      <c r="M660" s="8">
        <v>32.92</v>
      </c>
      <c r="N660">
        <v>29</v>
      </c>
      <c r="O660" t="s">
        <v>125</v>
      </c>
      <c r="P660" t="s">
        <v>121</v>
      </c>
    </row>
    <row r="661" spans="1:16" x14ac:dyDescent="0.25">
      <c r="A661" s="10">
        <v>45414</v>
      </c>
      <c r="B661" s="1" t="s">
        <v>27</v>
      </c>
      <c r="C661" s="2">
        <v>4</v>
      </c>
      <c r="D661" s="1" t="s">
        <v>18</v>
      </c>
      <c r="E661" s="1" t="s">
        <v>23</v>
      </c>
      <c r="F661" s="3">
        <v>0.05</v>
      </c>
      <c r="G661" s="1" t="s">
        <v>28</v>
      </c>
      <c r="H661" s="1" t="s">
        <v>25</v>
      </c>
      <c r="I661" s="1" t="s">
        <v>26</v>
      </c>
      <c r="J661" s="7">
        <v>50</v>
      </c>
      <c r="K661" s="7">
        <v>52.32</v>
      </c>
      <c r="L661" s="8">
        <v>200</v>
      </c>
      <c r="M661" s="8">
        <v>209.28</v>
      </c>
      <c r="N661">
        <v>2</v>
      </c>
      <c r="O661" t="s">
        <v>120</v>
      </c>
      <c r="P661" t="s">
        <v>121</v>
      </c>
    </row>
    <row r="662" spans="1:16" x14ac:dyDescent="0.25">
      <c r="A662" s="10">
        <v>45414</v>
      </c>
      <c r="B662" s="1" t="s">
        <v>92</v>
      </c>
      <c r="C662" s="2">
        <v>12</v>
      </c>
      <c r="D662" s="1" t="s">
        <v>18</v>
      </c>
      <c r="E662" s="1" t="s">
        <v>13</v>
      </c>
      <c r="F662" s="3">
        <v>0</v>
      </c>
      <c r="G662" s="1" t="s">
        <v>93</v>
      </c>
      <c r="H662" s="1" t="s">
        <v>33</v>
      </c>
      <c r="I662" s="1" t="s">
        <v>26</v>
      </c>
      <c r="J662" s="7">
        <v>75</v>
      </c>
      <c r="K662" s="7">
        <v>84.49</v>
      </c>
      <c r="L662" s="8">
        <v>900</v>
      </c>
      <c r="M662" s="8">
        <v>1013.8799999999999</v>
      </c>
      <c r="N662">
        <v>2</v>
      </c>
      <c r="O662" t="s">
        <v>120</v>
      </c>
      <c r="P662" t="s">
        <v>121</v>
      </c>
    </row>
    <row r="663" spans="1:16" x14ac:dyDescent="0.25">
      <c r="A663" s="10">
        <v>45414</v>
      </c>
      <c r="B663" s="1" t="s">
        <v>31</v>
      </c>
      <c r="C663" s="2">
        <v>9</v>
      </c>
      <c r="D663" s="1" t="s">
        <v>13</v>
      </c>
      <c r="E663" s="1" t="s">
        <v>13</v>
      </c>
      <c r="F663" s="3">
        <v>0.02</v>
      </c>
      <c r="G663" s="1" t="s">
        <v>32</v>
      </c>
      <c r="H663" s="1" t="s">
        <v>33</v>
      </c>
      <c r="I663" s="1" t="s">
        <v>21</v>
      </c>
      <c r="J663" s="7">
        <v>68</v>
      </c>
      <c r="K663" s="7">
        <v>77.849999999999994</v>
      </c>
      <c r="L663" s="8">
        <v>612</v>
      </c>
      <c r="M663" s="8">
        <v>700.65</v>
      </c>
      <c r="N663">
        <v>2</v>
      </c>
      <c r="O663" t="s">
        <v>120</v>
      </c>
      <c r="P663" t="s">
        <v>121</v>
      </c>
    </row>
    <row r="664" spans="1:16" x14ac:dyDescent="0.25">
      <c r="A664" s="10">
        <v>45415</v>
      </c>
      <c r="B664" s="1" t="s">
        <v>41</v>
      </c>
      <c r="C664" s="2">
        <v>14</v>
      </c>
      <c r="D664" s="1" t="s">
        <v>18</v>
      </c>
      <c r="E664" s="1" t="s">
        <v>23</v>
      </c>
      <c r="F664" s="3">
        <v>0</v>
      </c>
      <c r="G664" s="1" t="s">
        <v>42</v>
      </c>
      <c r="H664" s="1" t="s">
        <v>43</v>
      </c>
      <c r="I664" s="1" t="s">
        <v>26</v>
      </c>
      <c r="J664" s="7">
        <v>77</v>
      </c>
      <c r="K664" s="7">
        <v>87.91</v>
      </c>
      <c r="L664" s="8">
        <v>1078</v>
      </c>
      <c r="M664" s="8">
        <v>1230.74</v>
      </c>
      <c r="N664">
        <v>3</v>
      </c>
      <c r="O664" t="s">
        <v>120</v>
      </c>
      <c r="P664" t="s">
        <v>121</v>
      </c>
    </row>
    <row r="665" spans="1:16" x14ac:dyDescent="0.25">
      <c r="A665" s="10">
        <v>45416</v>
      </c>
      <c r="B665" s="1" t="s">
        <v>68</v>
      </c>
      <c r="C665" s="2">
        <v>3</v>
      </c>
      <c r="D665" s="1" t="s">
        <v>12</v>
      </c>
      <c r="E665" s="1" t="s">
        <v>23</v>
      </c>
      <c r="F665" s="3">
        <v>0.05</v>
      </c>
      <c r="G665" s="1" t="s">
        <v>69</v>
      </c>
      <c r="H665" s="1" t="s">
        <v>15</v>
      </c>
      <c r="I665" s="1" t="s">
        <v>38</v>
      </c>
      <c r="J665" s="7">
        <v>136</v>
      </c>
      <c r="K665" s="7">
        <v>145.02000000000001</v>
      </c>
      <c r="L665" s="8">
        <v>408</v>
      </c>
      <c r="M665" s="8">
        <v>435.06000000000006</v>
      </c>
      <c r="N665">
        <v>4</v>
      </c>
      <c r="O665" t="s">
        <v>120</v>
      </c>
      <c r="P665" t="s">
        <v>121</v>
      </c>
    </row>
    <row r="666" spans="1:16" x14ac:dyDescent="0.25">
      <c r="A666" s="10">
        <v>45416</v>
      </c>
      <c r="B666" s="1" t="s">
        <v>80</v>
      </c>
      <c r="C666" s="2">
        <v>1</v>
      </c>
      <c r="D666" s="1" t="s">
        <v>13</v>
      </c>
      <c r="E666" s="1" t="s">
        <v>13</v>
      </c>
      <c r="F666" s="3">
        <v>0</v>
      </c>
      <c r="G666" s="1" t="s">
        <v>81</v>
      </c>
      <c r="H666" s="1" t="s">
        <v>20</v>
      </c>
      <c r="I666" s="1" t="s">
        <v>26</v>
      </c>
      <c r="J666" s="7">
        <v>98</v>
      </c>
      <c r="K666" s="7">
        <v>109.83</v>
      </c>
      <c r="L666" s="8">
        <v>98</v>
      </c>
      <c r="M666" s="8">
        <v>109.83</v>
      </c>
      <c r="N666">
        <v>4</v>
      </c>
      <c r="O666" t="s">
        <v>120</v>
      </c>
      <c r="P666" t="s">
        <v>121</v>
      </c>
    </row>
    <row r="667" spans="1:16" x14ac:dyDescent="0.25">
      <c r="A667" s="10">
        <v>45417</v>
      </c>
      <c r="B667" s="1" t="s">
        <v>34</v>
      </c>
      <c r="C667" s="2">
        <v>2</v>
      </c>
      <c r="D667" s="1" t="s">
        <v>18</v>
      </c>
      <c r="E667" s="1" t="s">
        <v>23</v>
      </c>
      <c r="F667" s="3">
        <v>0</v>
      </c>
      <c r="G667" s="1" t="s">
        <v>35</v>
      </c>
      <c r="H667" s="1" t="s">
        <v>20</v>
      </c>
      <c r="I667" s="1" t="s">
        <v>16</v>
      </c>
      <c r="J667" s="7">
        <v>5</v>
      </c>
      <c r="K667" s="7">
        <v>5.6</v>
      </c>
      <c r="L667" s="8">
        <v>10</v>
      </c>
      <c r="M667" s="8">
        <v>11.2</v>
      </c>
      <c r="N667">
        <v>5</v>
      </c>
      <c r="O667" t="s">
        <v>120</v>
      </c>
      <c r="P667" t="s">
        <v>121</v>
      </c>
    </row>
    <row r="668" spans="1:16" x14ac:dyDescent="0.25">
      <c r="A668" s="10">
        <v>45419</v>
      </c>
      <c r="B668" s="1" t="s">
        <v>36</v>
      </c>
      <c r="C668" s="2">
        <v>4</v>
      </c>
      <c r="D668" s="1" t="s">
        <v>18</v>
      </c>
      <c r="E668" s="1" t="s">
        <v>23</v>
      </c>
      <c r="F668" s="3">
        <v>0</v>
      </c>
      <c r="G668" s="1" t="s">
        <v>37</v>
      </c>
      <c r="H668" s="1" t="s">
        <v>15</v>
      </c>
      <c r="I668" s="1" t="s">
        <v>38</v>
      </c>
      <c r="J668" s="7">
        <v>154</v>
      </c>
      <c r="K668" s="7">
        <v>169.51</v>
      </c>
      <c r="L668" s="8">
        <v>616</v>
      </c>
      <c r="M668" s="8">
        <v>678.04</v>
      </c>
      <c r="N668">
        <v>7</v>
      </c>
      <c r="O668" t="s">
        <v>120</v>
      </c>
      <c r="P668" t="s">
        <v>121</v>
      </c>
    </row>
    <row r="669" spans="1:16" x14ac:dyDescent="0.25">
      <c r="A669" s="10">
        <v>45420</v>
      </c>
      <c r="B669" s="1" t="s">
        <v>72</v>
      </c>
      <c r="C669" s="2">
        <v>3</v>
      </c>
      <c r="D669" s="1" t="s">
        <v>13</v>
      </c>
      <c r="E669" s="1" t="s">
        <v>23</v>
      </c>
      <c r="F669" s="3">
        <v>0</v>
      </c>
      <c r="G669" s="1" t="s">
        <v>73</v>
      </c>
      <c r="H669" s="1" t="s">
        <v>33</v>
      </c>
      <c r="I669" s="1" t="s">
        <v>26</v>
      </c>
      <c r="J669" s="7">
        <v>70</v>
      </c>
      <c r="K669" s="7">
        <v>79.55</v>
      </c>
      <c r="L669" s="8">
        <v>210</v>
      </c>
      <c r="M669" s="8">
        <v>238.64999999999998</v>
      </c>
      <c r="N669">
        <v>8</v>
      </c>
      <c r="O669" t="s">
        <v>120</v>
      </c>
      <c r="P669" t="s">
        <v>121</v>
      </c>
    </row>
    <row r="670" spans="1:16" x14ac:dyDescent="0.25">
      <c r="A670" s="10">
        <v>45420</v>
      </c>
      <c r="B670" s="1" t="s">
        <v>31</v>
      </c>
      <c r="C670" s="2">
        <v>14</v>
      </c>
      <c r="D670" s="1" t="s">
        <v>18</v>
      </c>
      <c r="E670" s="1" t="s">
        <v>23</v>
      </c>
      <c r="F670" s="3">
        <v>0</v>
      </c>
      <c r="G670" s="1" t="s">
        <v>32</v>
      </c>
      <c r="H670" s="1" t="s">
        <v>33</v>
      </c>
      <c r="I670" s="1" t="s">
        <v>21</v>
      </c>
      <c r="J670" s="7">
        <v>67</v>
      </c>
      <c r="K670" s="7">
        <v>78.53</v>
      </c>
      <c r="L670" s="8">
        <v>938</v>
      </c>
      <c r="M670" s="8">
        <v>1099.42</v>
      </c>
      <c r="N670">
        <v>8</v>
      </c>
      <c r="O670" t="s">
        <v>120</v>
      </c>
      <c r="P670" t="s">
        <v>121</v>
      </c>
    </row>
    <row r="671" spans="1:16" x14ac:dyDescent="0.25">
      <c r="A671" s="10">
        <v>45421</v>
      </c>
      <c r="B671" s="1" t="s">
        <v>64</v>
      </c>
      <c r="C671" s="2">
        <v>1</v>
      </c>
      <c r="D671" s="1" t="s">
        <v>18</v>
      </c>
      <c r="E671" s="1" t="s">
        <v>23</v>
      </c>
      <c r="F671" s="3">
        <v>0</v>
      </c>
      <c r="G671" s="1" t="s">
        <v>65</v>
      </c>
      <c r="H671" s="1" t="s">
        <v>25</v>
      </c>
      <c r="I671" s="1" t="s">
        <v>26</v>
      </c>
      <c r="J671" s="7">
        <v>65</v>
      </c>
      <c r="K671" s="7">
        <v>72.260000000000005</v>
      </c>
      <c r="L671" s="8">
        <v>65</v>
      </c>
      <c r="M671" s="8">
        <v>72.260000000000005</v>
      </c>
      <c r="N671">
        <v>9</v>
      </c>
      <c r="O671" t="s">
        <v>120</v>
      </c>
      <c r="P671" t="s">
        <v>121</v>
      </c>
    </row>
    <row r="672" spans="1:16" x14ac:dyDescent="0.25">
      <c r="A672" s="10">
        <v>45422</v>
      </c>
      <c r="B672" s="1" t="s">
        <v>106</v>
      </c>
      <c r="C672" s="2">
        <v>10</v>
      </c>
      <c r="D672" s="1" t="s">
        <v>18</v>
      </c>
      <c r="E672" s="1" t="s">
        <v>13</v>
      </c>
      <c r="F672" s="3">
        <v>0</v>
      </c>
      <c r="G672" s="1" t="s">
        <v>107</v>
      </c>
      <c r="H672" s="1" t="s">
        <v>25</v>
      </c>
      <c r="I672" s="1" t="s">
        <v>21</v>
      </c>
      <c r="J672" s="7">
        <v>42</v>
      </c>
      <c r="K672" s="7">
        <v>48.18</v>
      </c>
      <c r="L672" s="8">
        <v>420</v>
      </c>
      <c r="M672" s="8">
        <v>481.8</v>
      </c>
      <c r="N672">
        <v>10</v>
      </c>
      <c r="O672" t="s">
        <v>120</v>
      </c>
      <c r="P672" t="s">
        <v>121</v>
      </c>
    </row>
    <row r="673" spans="1:16" x14ac:dyDescent="0.25">
      <c r="A673" s="10">
        <v>45423</v>
      </c>
      <c r="B673" s="1" t="s">
        <v>100</v>
      </c>
      <c r="C673" s="2">
        <v>15</v>
      </c>
      <c r="D673" s="1" t="s">
        <v>13</v>
      </c>
      <c r="E673" s="1" t="s">
        <v>23</v>
      </c>
      <c r="F673" s="3">
        <v>0</v>
      </c>
      <c r="G673" s="1" t="s">
        <v>101</v>
      </c>
      <c r="H673" s="1" t="s">
        <v>25</v>
      </c>
      <c r="I673" s="1" t="s">
        <v>26</v>
      </c>
      <c r="J673" s="7">
        <v>96</v>
      </c>
      <c r="K673" s="7">
        <v>108.86</v>
      </c>
      <c r="L673" s="8">
        <v>1440</v>
      </c>
      <c r="M673" s="8">
        <v>1632.9</v>
      </c>
      <c r="N673">
        <v>11</v>
      </c>
      <c r="O673" t="s">
        <v>120</v>
      </c>
      <c r="P673" t="s">
        <v>121</v>
      </c>
    </row>
    <row r="674" spans="1:16" x14ac:dyDescent="0.25">
      <c r="A674" s="10">
        <v>45424</v>
      </c>
      <c r="B674" s="1" t="s">
        <v>11</v>
      </c>
      <c r="C674" s="2">
        <v>10</v>
      </c>
      <c r="D674" s="1" t="s">
        <v>13</v>
      </c>
      <c r="E674" s="1" t="s">
        <v>23</v>
      </c>
      <c r="F674" s="3">
        <v>0</v>
      </c>
      <c r="G674" s="1" t="s">
        <v>14</v>
      </c>
      <c r="H674" s="1" t="s">
        <v>15</v>
      </c>
      <c r="I674" s="1" t="s">
        <v>16</v>
      </c>
      <c r="J674" s="7">
        <v>7</v>
      </c>
      <c r="K674" s="7">
        <v>7.94</v>
      </c>
      <c r="L674" s="8">
        <v>70</v>
      </c>
      <c r="M674" s="8">
        <v>79.400000000000006</v>
      </c>
      <c r="N674">
        <v>12</v>
      </c>
      <c r="O674" t="s">
        <v>120</v>
      </c>
      <c r="P674" t="s">
        <v>121</v>
      </c>
    </row>
    <row r="675" spans="1:16" x14ac:dyDescent="0.25">
      <c r="A675" s="10">
        <v>45426</v>
      </c>
      <c r="B675" s="1" t="s">
        <v>92</v>
      </c>
      <c r="C675" s="2">
        <v>13</v>
      </c>
      <c r="D675" s="1" t="s">
        <v>18</v>
      </c>
      <c r="E675" s="1" t="s">
        <v>13</v>
      </c>
      <c r="F675" s="3">
        <v>0</v>
      </c>
      <c r="G675" s="1" t="s">
        <v>93</v>
      </c>
      <c r="H675" s="1" t="s">
        <v>33</v>
      </c>
      <c r="I675" s="1" t="s">
        <v>26</v>
      </c>
      <c r="J675" s="7">
        <v>77</v>
      </c>
      <c r="K675" s="7">
        <v>84.03</v>
      </c>
      <c r="L675" s="8">
        <v>1001</v>
      </c>
      <c r="M675" s="8">
        <v>1092.3900000000001</v>
      </c>
      <c r="N675">
        <v>14</v>
      </c>
      <c r="O675" t="s">
        <v>120</v>
      </c>
      <c r="P675" t="s">
        <v>121</v>
      </c>
    </row>
    <row r="676" spans="1:16" x14ac:dyDescent="0.25">
      <c r="A676" s="10">
        <v>45426</v>
      </c>
      <c r="B676" s="1" t="s">
        <v>80</v>
      </c>
      <c r="C676" s="2">
        <v>7</v>
      </c>
      <c r="D676" s="1" t="s">
        <v>13</v>
      </c>
      <c r="E676" s="1" t="s">
        <v>23</v>
      </c>
      <c r="F676" s="3">
        <v>0</v>
      </c>
      <c r="G676" s="1" t="s">
        <v>81</v>
      </c>
      <c r="H676" s="1" t="s">
        <v>20</v>
      </c>
      <c r="I676" s="1" t="s">
        <v>26</v>
      </c>
      <c r="J676" s="7">
        <v>102</v>
      </c>
      <c r="K676" s="7">
        <v>113.26</v>
      </c>
      <c r="L676" s="8">
        <v>714</v>
      </c>
      <c r="M676" s="8">
        <v>792.82</v>
      </c>
      <c r="N676">
        <v>14</v>
      </c>
      <c r="O676" t="s">
        <v>120</v>
      </c>
      <c r="P676" t="s">
        <v>121</v>
      </c>
    </row>
    <row r="677" spans="1:16" x14ac:dyDescent="0.25">
      <c r="A677" s="10">
        <v>45427</v>
      </c>
      <c r="B677" s="1" t="s">
        <v>94</v>
      </c>
      <c r="C677" s="2">
        <v>2</v>
      </c>
      <c r="D677" s="1" t="s">
        <v>12</v>
      </c>
      <c r="E677" s="1" t="s">
        <v>23</v>
      </c>
      <c r="F677" s="3">
        <v>0.1</v>
      </c>
      <c r="G677" s="1" t="s">
        <v>95</v>
      </c>
      <c r="H677" s="1" t="s">
        <v>20</v>
      </c>
      <c r="I677" s="1" t="s">
        <v>26</v>
      </c>
      <c r="J677" s="7">
        <v>59</v>
      </c>
      <c r="K677" s="7">
        <v>59.13</v>
      </c>
      <c r="L677" s="8">
        <v>118</v>
      </c>
      <c r="M677" s="8">
        <v>118.26</v>
      </c>
      <c r="N677">
        <v>15</v>
      </c>
      <c r="O677" t="s">
        <v>120</v>
      </c>
      <c r="P677" t="s">
        <v>121</v>
      </c>
    </row>
    <row r="678" spans="1:16" x14ac:dyDescent="0.25">
      <c r="A678" s="10">
        <v>45427</v>
      </c>
      <c r="B678" s="1" t="s">
        <v>76</v>
      </c>
      <c r="C678" s="2">
        <v>14</v>
      </c>
      <c r="D678" s="1" t="s">
        <v>18</v>
      </c>
      <c r="E678" s="1" t="s">
        <v>23</v>
      </c>
      <c r="F678" s="3">
        <v>0</v>
      </c>
      <c r="G678" s="1" t="s">
        <v>77</v>
      </c>
      <c r="H678" s="1" t="s">
        <v>25</v>
      </c>
      <c r="I678" s="1" t="s">
        <v>26</v>
      </c>
      <c r="J678" s="7">
        <v>108</v>
      </c>
      <c r="K678" s="7">
        <v>126.04</v>
      </c>
      <c r="L678" s="8">
        <v>1512</v>
      </c>
      <c r="M678" s="8">
        <v>1764.5600000000002</v>
      </c>
      <c r="N678">
        <v>15</v>
      </c>
      <c r="O678" t="s">
        <v>120</v>
      </c>
      <c r="P678" t="s">
        <v>121</v>
      </c>
    </row>
    <row r="679" spans="1:16" x14ac:dyDescent="0.25">
      <c r="A679" s="10">
        <v>45429</v>
      </c>
      <c r="B679" s="1" t="s">
        <v>70</v>
      </c>
      <c r="C679" s="2">
        <v>5</v>
      </c>
      <c r="D679" s="1" t="s">
        <v>18</v>
      </c>
      <c r="E679" s="1" t="s">
        <v>23</v>
      </c>
      <c r="F679" s="3">
        <v>0</v>
      </c>
      <c r="G679" s="1" t="s">
        <v>71</v>
      </c>
      <c r="H679" s="1" t="s">
        <v>43</v>
      </c>
      <c r="I679" s="1" t="s">
        <v>21</v>
      </c>
      <c r="J679" s="7">
        <v>55</v>
      </c>
      <c r="K679" s="7">
        <v>61.17</v>
      </c>
      <c r="L679" s="8">
        <v>275</v>
      </c>
      <c r="M679" s="8">
        <v>305.85000000000002</v>
      </c>
      <c r="N679">
        <v>17</v>
      </c>
      <c r="O679" t="s">
        <v>120</v>
      </c>
      <c r="P679" t="s">
        <v>121</v>
      </c>
    </row>
    <row r="680" spans="1:16" x14ac:dyDescent="0.25">
      <c r="A680" s="10">
        <v>45434</v>
      </c>
      <c r="B680" s="1" t="s">
        <v>80</v>
      </c>
      <c r="C680" s="2">
        <v>8</v>
      </c>
      <c r="D680" s="1" t="s">
        <v>18</v>
      </c>
      <c r="E680" s="1" t="s">
        <v>23</v>
      </c>
      <c r="F680" s="3">
        <v>0</v>
      </c>
      <c r="G680" s="1" t="s">
        <v>81</v>
      </c>
      <c r="H680" s="1" t="s">
        <v>20</v>
      </c>
      <c r="I680" s="1" t="s">
        <v>26</v>
      </c>
      <c r="J680" s="7">
        <v>100</v>
      </c>
      <c r="K680" s="7">
        <v>110.89</v>
      </c>
      <c r="L680" s="8">
        <v>800</v>
      </c>
      <c r="M680" s="8">
        <v>887.12</v>
      </c>
      <c r="N680">
        <v>22</v>
      </c>
      <c r="O680" t="s">
        <v>120</v>
      </c>
      <c r="P680" t="s">
        <v>121</v>
      </c>
    </row>
    <row r="681" spans="1:16" x14ac:dyDescent="0.25">
      <c r="A681" s="10">
        <v>45436</v>
      </c>
      <c r="B681" s="1" t="s">
        <v>88</v>
      </c>
      <c r="C681" s="2">
        <v>2</v>
      </c>
      <c r="D681" s="1" t="s">
        <v>13</v>
      </c>
      <c r="E681" s="1" t="s">
        <v>23</v>
      </c>
      <c r="F681" s="3">
        <v>0</v>
      </c>
      <c r="G681" s="1" t="s">
        <v>89</v>
      </c>
      <c r="H681" s="1" t="s">
        <v>33</v>
      </c>
      <c r="I681" s="1" t="s">
        <v>26</v>
      </c>
      <c r="J681" s="7">
        <v>80</v>
      </c>
      <c r="K681" s="7">
        <v>89.13</v>
      </c>
      <c r="L681" s="8">
        <v>160</v>
      </c>
      <c r="M681" s="8">
        <v>178.26</v>
      </c>
      <c r="N681">
        <v>24</v>
      </c>
      <c r="O681" t="s">
        <v>120</v>
      </c>
      <c r="P681" t="s">
        <v>121</v>
      </c>
    </row>
    <row r="682" spans="1:16" x14ac:dyDescent="0.25">
      <c r="A682" s="10">
        <v>45436</v>
      </c>
      <c r="B682" s="1" t="s">
        <v>64</v>
      </c>
      <c r="C682" s="2">
        <v>14</v>
      </c>
      <c r="D682" s="1" t="s">
        <v>18</v>
      </c>
      <c r="E682" s="1" t="s">
        <v>13</v>
      </c>
      <c r="F682" s="3">
        <v>0</v>
      </c>
      <c r="G682" s="1" t="s">
        <v>65</v>
      </c>
      <c r="H682" s="1" t="s">
        <v>25</v>
      </c>
      <c r="I682" s="1" t="s">
        <v>26</v>
      </c>
      <c r="J682" s="7">
        <v>62</v>
      </c>
      <c r="K682" s="7">
        <v>69.180000000000007</v>
      </c>
      <c r="L682" s="8">
        <v>868</v>
      </c>
      <c r="M682" s="8">
        <v>968.5200000000001</v>
      </c>
      <c r="N682">
        <v>24</v>
      </c>
      <c r="O682" t="s">
        <v>120</v>
      </c>
      <c r="P682" t="s">
        <v>121</v>
      </c>
    </row>
    <row r="683" spans="1:16" x14ac:dyDescent="0.25">
      <c r="A683" s="10">
        <v>45436</v>
      </c>
      <c r="B683" s="1" t="s">
        <v>106</v>
      </c>
      <c r="C683" s="2">
        <v>4</v>
      </c>
      <c r="D683" s="1" t="s">
        <v>12</v>
      </c>
      <c r="E683" s="1" t="s">
        <v>23</v>
      </c>
      <c r="F683" s="3">
        <v>0</v>
      </c>
      <c r="G683" s="1" t="s">
        <v>107</v>
      </c>
      <c r="H683" s="1" t="s">
        <v>25</v>
      </c>
      <c r="I683" s="1" t="s">
        <v>21</v>
      </c>
      <c r="J683" s="7">
        <v>41</v>
      </c>
      <c r="K683" s="7">
        <v>46.78</v>
      </c>
      <c r="L683" s="8">
        <v>164</v>
      </c>
      <c r="M683" s="8">
        <v>187.12</v>
      </c>
      <c r="N683">
        <v>24</v>
      </c>
      <c r="O683" t="s">
        <v>120</v>
      </c>
      <c r="P683" t="s">
        <v>121</v>
      </c>
    </row>
    <row r="684" spans="1:16" x14ac:dyDescent="0.25">
      <c r="A684" s="10">
        <v>45437</v>
      </c>
      <c r="B684" s="1" t="s">
        <v>112</v>
      </c>
      <c r="C684" s="2">
        <v>9</v>
      </c>
      <c r="D684" s="1" t="s">
        <v>18</v>
      </c>
      <c r="E684" s="1" t="s">
        <v>23</v>
      </c>
      <c r="F684" s="3">
        <v>0</v>
      </c>
      <c r="G684" s="1" t="s">
        <v>113</v>
      </c>
      <c r="H684" s="1" t="s">
        <v>20</v>
      </c>
      <c r="I684" s="1" t="s">
        <v>16</v>
      </c>
      <c r="J684" s="7">
        <v>10</v>
      </c>
      <c r="K684" s="7">
        <v>11.18</v>
      </c>
      <c r="L684" s="8">
        <v>90</v>
      </c>
      <c r="M684" s="8">
        <v>100.62</v>
      </c>
      <c r="N684">
        <v>25</v>
      </c>
      <c r="O684" t="s">
        <v>120</v>
      </c>
      <c r="P684" t="s">
        <v>121</v>
      </c>
    </row>
    <row r="685" spans="1:16" x14ac:dyDescent="0.25">
      <c r="A685" s="10">
        <v>45438</v>
      </c>
      <c r="B685" s="1" t="s">
        <v>100</v>
      </c>
      <c r="C685" s="2">
        <v>13</v>
      </c>
      <c r="D685" s="1" t="s">
        <v>13</v>
      </c>
      <c r="E685" s="1" t="s">
        <v>13</v>
      </c>
      <c r="F685" s="3">
        <v>0</v>
      </c>
      <c r="G685" s="1" t="s">
        <v>101</v>
      </c>
      <c r="H685" s="1" t="s">
        <v>25</v>
      </c>
      <c r="I685" s="1" t="s">
        <v>26</v>
      </c>
      <c r="J685" s="7">
        <v>96</v>
      </c>
      <c r="K685" s="7">
        <v>108.32</v>
      </c>
      <c r="L685" s="8">
        <v>1248</v>
      </c>
      <c r="M685" s="8">
        <v>1408.1599999999999</v>
      </c>
      <c r="N685">
        <v>26</v>
      </c>
      <c r="O685" t="s">
        <v>120</v>
      </c>
      <c r="P685" t="s">
        <v>121</v>
      </c>
    </row>
    <row r="686" spans="1:16" x14ac:dyDescent="0.25">
      <c r="A686" s="10">
        <v>45439</v>
      </c>
      <c r="B686" s="1" t="s">
        <v>92</v>
      </c>
      <c r="C686" s="2">
        <v>11</v>
      </c>
      <c r="D686" s="1" t="s">
        <v>18</v>
      </c>
      <c r="E686" s="1" t="s">
        <v>13</v>
      </c>
      <c r="F686" s="3">
        <v>0</v>
      </c>
      <c r="G686" s="1" t="s">
        <v>93</v>
      </c>
      <c r="H686" s="1" t="s">
        <v>33</v>
      </c>
      <c r="I686" s="1" t="s">
        <v>26</v>
      </c>
      <c r="J686" s="7">
        <v>76</v>
      </c>
      <c r="K686" s="7">
        <v>88.51</v>
      </c>
      <c r="L686" s="8">
        <v>836</v>
      </c>
      <c r="M686" s="8">
        <v>973.61</v>
      </c>
      <c r="N686">
        <v>27</v>
      </c>
      <c r="O686" t="s">
        <v>120</v>
      </c>
      <c r="P686" t="s">
        <v>121</v>
      </c>
    </row>
    <row r="687" spans="1:16" x14ac:dyDescent="0.25">
      <c r="A687" s="10">
        <v>45440</v>
      </c>
      <c r="B687" s="1" t="s">
        <v>60</v>
      </c>
      <c r="C687" s="2">
        <v>4</v>
      </c>
      <c r="D687" s="1" t="s">
        <v>13</v>
      </c>
      <c r="E687" s="1" t="s">
        <v>23</v>
      </c>
      <c r="F687" s="3">
        <v>0</v>
      </c>
      <c r="G687" s="1" t="s">
        <v>61</v>
      </c>
      <c r="H687" s="1" t="s">
        <v>15</v>
      </c>
      <c r="I687" s="1" t="s">
        <v>26</v>
      </c>
      <c r="J687" s="7">
        <v>90</v>
      </c>
      <c r="K687" s="7">
        <v>105.81</v>
      </c>
      <c r="L687" s="8">
        <v>360</v>
      </c>
      <c r="M687" s="8">
        <v>423.24</v>
      </c>
      <c r="N687">
        <v>28</v>
      </c>
      <c r="O687" t="s">
        <v>120</v>
      </c>
      <c r="P687" t="s">
        <v>121</v>
      </c>
    </row>
    <row r="688" spans="1:16" x14ac:dyDescent="0.25">
      <c r="A688" s="10">
        <v>45441</v>
      </c>
      <c r="B688" s="1" t="s">
        <v>112</v>
      </c>
      <c r="C688" s="2">
        <v>5</v>
      </c>
      <c r="D688" s="1" t="s">
        <v>18</v>
      </c>
      <c r="E688" s="1" t="s">
        <v>13</v>
      </c>
      <c r="F688" s="3">
        <v>0</v>
      </c>
      <c r="G688" s="1" t="s">
        <v>113</v>
      </c>
      <c r="H688" s="1" t="s">
        <v>20</v>
      </c>
      <c r="I688" s="1" t="s">
        <v>16</v>
      </c>
      <c r="J688" s="7">
        <v>9</v>
      </c>
      <c r="K688" s="7">
        <v>9.73</v>
      </c>
      <c r="L688" s="8">
        <v>45</v>
      </c>
      <c r="M688" s="8">
        <v>48.650000000000006</v>
      </c>
      <c r="N688">
        <v>29</v>
      </c>
      <c r="O688" t="s">
        <v>120</v>
      </c>
      <c r="P688" t="s">
        <v>121</v>
      </c>
    </row>
    <row r="689" spans="1:16" x14ac:dyDescent="0.25">
      <c r="A689" s="10">
        <v>45442</v>
      </c>
      <c r="B689" s="1" t="s">
        <v>56</v>
      </c>
      <c r="C689" s="2">
        <v>6</v>
      </c>
      <c r="D689" s="1" t="s">
        <v>12</v>
      </c>
      <c r="E689" s="1" t="s">
        <v>13</v>
      </c>
      <c r="F689" s="3">
        <v>0.02</v>
      </c>
      <c r="G689" s="1" t="s">
        <v>57</v>
      </c>
      <c r="H689" s="1" t="s">
        <v>20</v>
      </c>
      <c r="I689" s="1" t="s">
        <v>26</v>
      </c>
      <c r="J689" s="7">
        <v>87</v>
      </c>
      <c r="K689" s="7">
        <v>93.65</v>
      </c>
      <c r="L689" s="8">
        <v>522</v>
      </c>
      <c r="M689" s="8">
        <v>561.90000000000009</v>
      </c>
      <c r="N689">
        <v>30</v>
      </c>
      <c r="O689" t="s">
        <v>120</v>
      </c>
      <c r="P689" t="s">
        <v>121</v>
      </c>
    </row>
    <row r="690" spans="1:16" x14ac:dyDescent="0.25">
      <c r="A690" s="10">
        <v>45445</v>
      </c>
      <c r="B690" s="1" t="s">
        <v>102</v>
      </c>
      <c r="C690" s="2">
        <v>6</v>
      </c>
      <c r="D690" s="1" t="s">
        <v>13</v>
      </c>
      <c r="E690" s="1" t="s">
        <v>13</v>
      </c>
      <c r="F690" s="3">
        <v>0</v>
      </c>
      <c r="G690" s="1" t="s">
        <v>103</v>
      </c>
      <c r="H690" s="1" t="s">
        <v>15</v>
      </c>
      <c r="I690" s="1" t="s">
        <v>38</v>
      </c>
      <c r="J690" s="7">
        <v>149</v>
      </c>
      <c r="K690" s="7">
        <v>169.49</v>
      </c>
      <c r="L690" s="8">
        <v>894</v>
      </c>
      <c r="M690" s="8">
        <v>1016.94</v>
      </c>
      <c r="N690">
        <v>2</v>
      </c>
      <c r="O690" t="s">
        <v>126</v>
      </c>
      <c r="P690" t="s">
        <v>121</v>
      </c>
    </row>
    <row r="691" spans="1:16" x14ac:dyDescent="0.25">
      <c r="A691" s="10">
        <v>45446</v>
      </c>
      <c r="B691" s="1" t="s">
        <v>34</v>
      </c>
      <c r="C691" s="2">
        <v>6</v>
      </c>
      <c r="D691" s="1" t="s">
        <v>18</v>
      </c>
      <c r="E691" s="1" t="s">
        <v>13</v>
      </c>
      <c r="F691" s="3">
        <v>0</v>
      </c>
      <c r="G691" s="1" t="s">
        <v>35</v>
      </c>
      <c r="H691" s="1" t="s">
        <v>20</v>
      </c>
      <c r="I691" s="1" t="s">
        <v>16</v>
      </c>
      <c r="J691" s="7">
        <v>5</v>
      </c>
      <c r="K691" s="7">
        <v>5.8</v>
      </c>
      <c r="L691" s="8">
        <v>30</v>
      </c>
      <c r="M691" s="8">
        <v>34.799999999999997</v>
      </c>
      <c r="N691">
        <v>3</v>
      </c>
      <c r="O691" t="s">
        <v>126</v>
      </c>
      <c r="P691" t="s">
        <v>121</v>
      </c>
    </row>
    <row r="692" spans="1:16" x14ac:dyDescent="0.25">
      <c r="A692" s="10">
        <v>45447</v>
      </c>
      <c r="B692" s="1" t="s">
        <v>44</v>
      </c>
      <c r="C692" s="2">
        <v>10</v>
      </c>
      <c r="D692" s="1" t="s">
        <v>13</v>
      </c>
      <c r="E692" s="1" t="s">
        <v>23</v>
      </c>
      <c r="F692" s="3">
        <v>0</v>
      </c>
      <c r="G692" s="1" t="s">
        <v>45</v>
      </c>
      <c r="H692" s="1" t="s">
        <v>15</v>
      </c>
      <c r="I692" s="1" t="s">
        <v>38</v>
      </c>
      <c r="J692" s="7">
        <v>119</v>
      </c>
      <c r="K692" s="7">
        <v>139.63999999999999</v>
      </c>
      <c r="L692" s="8">
        <v>1190</v>
      </c>
      <c r="M692" s="8">
        <v>1396.3999999999999</v>
      </c>
      <c r="N692">
        <v>4</v>
      </c>
      <c r="O692" t="s">
        <v>126</v>
      </c>
      <c r="P692" t="s">
        <v>121</v>
      </c>
    </row>
    <row r="693" spans="1:16" x14ac:dyDescent="0.25">
      <c r="A693" s="10">
        <v>45447</v>
      </c>
      <c r="B693" s="1" t="s">
        <v>36</v>
      </c>
      <c r="C693" s="2">
        <v>3</v>
      </c>
      <c r="D693" s="1" t="s">
        <v>18</v>
      </c>
      <c r="E693" s="1" t="s">
        <v>13</v>
      </c>
      <c r="F693" s="3">
        <v>0</v>
      </c>
      <c r="G693" s="1" t="s">
        <v>37</v>
      </c>
      <c r="H693" s="1" t="s">
        <v>15</v>
      </c>
      <c r="I693" s="1" t="s">
        <v>38</v>
      </c>
      <c r="J693" s="7">
        <v>152</v>
      </c>
      <c r="K693" s="7">
        <v>169.49</v>
      </c>
      <c r="L693" s="8">
        <v>456</v>
      </c>
      <c r="M693" s="8">
        <v>508.47</v>
      </c>
      <c r="N693">
        <v>4</v>
      </c>
      <c r="O693" t="s">
        <v>126</v>
      </c>
      <c r="P693" t="s">
        <v>121</v>
      </c>
    </row>
    <row r="694" spans="1:16" x14ac:dyDescent="0.25">
      <c r="A694" s="10">
        <v>45448</v>
      </c>
      <c r="B694" s="1" t="s">
        <v>52</v>
      </c>
      <c r="C694" s="2">
        <v>12</v>
      </c>
      <c r="D694" s="1" t="s">
        <v>12</v>
      </c>
      <c r="E694" s="1" t="s">
        <v>13</v>
      </c>
      <c r="F694" s="3">
        <v>0.02</v>
      </c>
      <c r="G694" s="1" t="s">
        <v>53</v>
      </c>
      <c r="H694" s="1" t="s">
        <v>25</v>
      </c>
      <c r="I694" s="1" t="s">
        <v>21</v>
      </c>
      <c r="J694" s="7">
        <v>63</v>
      </c>
      <c r="K694" s="7">
        <v>66.819999999999993</v>
      </c>
      <c r="L694" s="8">
        <v>756</v>
      </c>
      <c r="M694" s="8">
        <v>801.83999999999992</v>
      </c>
      <c r="N694">
        <v>5</v>
      </c>
      <c r="O694" t="s">
        <v>126</v>
      </c>
      <c r="P694" t="s">
        <v>121</v>
      </c>
    </row>
    <row r="695" spans="1:16" x14ac:dyDescent="0.25">
      <c r="A695" s="10">
        <v>45448</v>
      </c>
      <c r="B695" s="1" t="s">
        <v>74</v>
      </c>
      <c r="C695" s="2">
        <v>12</v>
      </c>
      <c r="D695" s="1" t="s">
        <v>13</v>
      </c>
      <c r="E695" s="1" t="s">
        <v>23</v>
      </c>
      <c r="F695" s="3">
        <v>0</v>
      </c>
      <c r="G695" s="1" t="s">
        <v>75</v>
      </c>
      <c r="H695" s="1" t="s">
        <v>20</v>
      </c>
      <c r="I695" s="1" t="s">
        <v>21</v>
      </c>
      <c r="J695" s="7">
        <v>49</v>
      </c>
      <c r="K695" s="7">
        <v>55.79</v>
      </c>
      <c r="L695" s="8">
        <v>588</v>
      </c>
      <c r="M695" s="8">
        <v>669.48</v>
      </c>
      <c r="N695">
        <v>5</v>
      </c>
      <c r="O695" t="s">
        <v>126</v>
      </c>
      <c r="P695" t="s">
        <v>121</v>
      </c>
    </row>
    <row r="696" spans="1:16" x14ac:dyDescent="0.25">
      <c r="A696" s="10">
        <v>45448</v>
      </c>
      <c r="B696" s="1" t="s">
        <v>56</v>
      </c>
      <c r="C696" s="2">
        <v>6</v>
      </c>
      <c r="D696" s="1" t="s">
        <v>13</v>
      </c>
      <c r="E696" s="1" t="s">
        <v>23</v>
      </c>
      <c r="F696" s="3">
        <v>0</v>
      </c>
      <c r="G696" s="1" t="s">
        <v>57</v>
      </c>
      <c r="H696" s="1" t="s">
        <v>20</v>
      </c>
      <c r="I696" s="1" t="s">
        <v>26</v>
      </c>
      <c r="J696" s="7">
        <v>86</v>
      </c>
      <c r="K696" s="7">
        <v>100.73</v>
      </c>
      <c r="L696" s="8">
        <v>516</v>
      </c>
      <c r="M696" s="8">
        <v>604.38</v>
      </c>
      <c r="N696">
        <v>5</v>
      </c>
      <c r="O696" t="s">
        <v>126</v>
      </c>
      <c r="P696" t="s">
        <v>121</v>
      </c>
    </row>
    <row r="697" spans="1:16" x14ac:dyDescent="0.25">
      <c r="A697" s="10">
        <v>45448</v>
      </c>
      <c r="B697" s="1" t="s">
        <v>11</v>
      </c>
      <c r="C697" s="2">
        <v>2</v>
      </c>
      <c r="D697" s="1" t="s">
        <v>13</v>
      </c>
      <c r="E697" s="1" t="s">
        <v>13</v>
      </c>
      <c r="F697" s="3">
        <v>0</v>
      </c>
      <c r="G697" s="1" t="s">
        <v>14</v>
      </c>
      <c r="H697" s="1" t="s">
        <v>15</v>
      </c>
      <c r="I697" s="1" t="s">
        <v>16</v>
      </c>
      <c r="J697" s="7">
        <v>7</v>
      </c>
      <c r="K697" s="7">
        <v>7.85</v>
      </c>
      <c r="L697" s="8">
        <v>14</v>
      </c>
      <c r="M697" s="8">
        <v>15.7</v>
      </c>
      <c r="N697">
        <v>5</v>
      </c>
      <c r="O697" t="s">
        <v>126</v>
      </c>
      <c r="P697" t="s">
        <v>121</v>
      </c>
    </row>
    <row r="698" spans="1:16" x14ac:dyDescent="0.25">
      <c r="A698" s="10">
        <v>45449</v>
      </c>
      <c r="B698" s="1" t="s">
        <v>44</v>
      </c>
      <c r="C698" s="2">
        <v>3</v>
      </c>
      <c r="D698" s="1" t="s">
        <v>18</v>
      </c>
      <c r="E698" s="1" t="s">
        <v>23</v>
      </c>
      <c r="F698" s="3">
        <v>0</v>
      </c>
      <c r="G698" s="1" t="s">
        <v>45</v>
      </c>
      <c r="H698" s="1" t="s">
        <v>15</v>
      </c>
      <c r="I698" s="1" t="s">
        <v>38</v>
      </c>
      <c r="J698" s="7">
        <v>117</v>
      </c>
      <c r="K698" s="7">
        <v>132.57</v>
      </c>
      <c r="L698" s="8">
        <v>351</v>
      </c>
      <c r="M698" s="8">
        <v>397.71</v>
      </c>
      <c r="N698">
        <v>6</v>
      </c>
      <c r="O698" t="s">
        <v>126</v>
      </c>
      <c r="P698" t="s">
        <v>121</v>
      </c>
    </row>
    <row r="699" spans="1:16" x14ac:dyDescent="0.25">
      <c r="A699" s="10">
        <v>45449</v>
      </c>
      <c r="B699" s="1" t="s">
        <v>78</v>
      </c>
      <c r="C699" s="2">
        <v>9</v>
      </c>
      <c r="D699" s="1" t="s">
        <v>18</v>
      </c>
      <c r="E699" s="1" t="s">
        <v>23</v>
      </c>
      <c r="F699" s="3">
        <v>0</v>
      </c>
      <c r="G699" s="1" t="s">
        <v>79</v>
      </c>
      <c r="H699" s="1" t="s">
        <v>33</v>
      </c>
      <c r="I699" s="1" t="s">
        <v>21</v>
      </c>
      <c r="J699" s="7">
        <v>44</v>
      </c>
      <c r="K699" s="7">
        <v>50.14</v>
      </c>
      <c r="L699" s="8">
        <v>396</v>
      </c>
      <c r="M699" s="8">
        <v>451.26</v>
      </c>
      <c r="N699">
        <v>6</v>
      </c>
      <c r="O699" t="s">
        <v>126</v>
      </c>
      <c r="P699" t="s">
        <v>121</v>
      </c>
    </row>
    <row r="700" spans="1:16" x14ac:dyDescent="0.25">
      <c r="A700" s="10">
        <v>45450</v>
      </c>
      <c r="B700" s="1" t="s">
        <v>60</v>
      </c>
      <c r="C700" s="2">
        <v>15</v>
      </c>
      <c r="D700" s="1" t="s">
        <v>13</v>
      </c>
      <c r="E700" s="1" t="s">
        <v>13</v>
      </c>
      <c r="F700" s="3">
        <v>0</v>
      </c>
      <c r="G700" s="1" t="s">
        <v>61</v>
      </c>
      <c r="H700" s="1" t="s">
        <v>15</v>
      </c>
      <c r="I700" s="1" t="s">
        <v>26</v>
      </c>
      <c r="J700" s="7">
        <v>91</v>
      </c>
      <c r="K700" s="7">
        <v>98.3</v>
      </c>
      <c r="L700" s="8">
        <v>1365</v>
      </c>
      <c r="M700" s="8">
        <v>1474.5</v>
      </c>
      <c r="N700">
        <v>7</v>
      </c>
      <c r="O700" t="s">
        <v>126</v>
      </c>
      <c r="P700" t="s">
        <v>121</v>
      </c>
    </row>
    <row r="701" spans="1:16" x14ac:dyDescent="0.25">
      <c r="A701" s="10">
        <v>45453</v>
      </c>
      <c r="B701" s="1" t="s">
        <v>68</v>
      </c>
      <c r="C701" s="2">
        <v>9</v>
      </c>
      <c r="D701" s="1" t="s">
        <v>13</v>
      </c>
      <c r="E701" s="1" t="s">
        <v>23</v>
      </c>
      <c r="F701" s="3">
        <v>0</v>
      </c>
      <c r="G701" s="1" t="s">
        <v>69</v>
      </c>
      <c r="H701" s="1" t="s">
        <v>15</v>
      </c>
      <c r="I701" s="1" t="s">
        <v>38</v>
      </c>
      <c r="J701" s="7">
        <v>138</v>
      </c>
      <c r="K701" s="7">
        <v>152.72</v>
      </c>
      <c r="L701" s="8">
        <v>1242</v>
      </c>
      <c r="M701" s="8">
        <v>1374.48</v>
      </c>
      <c r="N701">
        <v>10</v>
      </c>
      <c r="O701" t="s">
        <v>126</v>
      </c>
      <c r="P701" t="s">
        <v>121</v>
      </c>
    </row>
    <row r="702" spans="1:16" x14ac:dyDescent="0.25">
      <c r="A702" s="10">
        <v>45454</v>
      </c>
      <c r="B702" s="1" t="s">
        <v>94</v>
      </c>
      <c r="C702" s="2">
        <v>13</v>
      </c>
      <c r="D702" s="1" t="s">
        <v>13</v>
      </c>
      <c r="E702" s="1" t="s">
        <v>23</v>
      </c>
      <c r="F702" s="3">
        <v>0.02</v>
      </c>
      <c r="G702" s="1" t="s">
        <v>95</v>
      </c>
      <c r="H702" s="1" t="s">
        <v>20</v>
      </c>
      <c r="I702" s="1" t="s">
        <v>26</v>
      </c>
      <c r="J702" s="7">
        <v>61</v>
      </c>
      <c r="K702" s="7">
        <v>68.69</v>
      </c>
      <c r="L702" s="8">
        <v>793</v>
      </c>
      <c r="M702" s="8">
        <v>892.97</v>
      </c>
      <c r="N702">
        <v>11</v>
      </c>
      <c r="O702" t="s">
        <v>126</v>
      </c>
      <c r="P702" t="s">
        <v>121</v>
      </c>
    </row>
    <row r="703" spans="1:16" x14ac:dyDescent="0.25">
      <c r="A703" s="10">
        <v>45454</v>
      </c>
      <c r="B703" s="1" t="s">
        <v>98</v>
      </c>
      <c r="C703" s="2">
        <v>7</v>
      </c>
      <c r="D703" s="1" t="s">
        <v>18</v>
      </c>
      <c r="E703" s="1" t="s">
        <v>23</v>
      </c>
      <c r="F703" s="3">
        <v>0</v>
      </c>
      <c r="G703" s="1" t="s">
        <v>99</v>
      </c>
      <c r="H703" s="1" t="s">
        <v>43</v>
      </c>
      <c r="I703" s="1" t="s">
        <v>21</v>
      </c>
      <c r="J703" s="7">
        <v>48</v>
      </c>
      <c r="K703" s="7">
        <v>54.87</v>
      </c>
      <c r="L703" s="8">
        <v>336</v>
      </c>
      <c r="M703" s="8">
        <v>384.09</v>
      </c>
      <c r="N703">
        <v>11</v>
      </c>
      <c r="O703" t="s">
        <v>126</v>
      </c>
      <c r="P703" t="s">
        <v>121</v>
      </c>
    </row>
    <row r="704" spans="1:16" x14ac:dyDescent="0.25">
      <c r="A704" s="10">
        <v>45454</v>
      </c>
      <c r="B704" s="1" t="s">
        <v>90</v>
      </c>
      <c r="C704" s="2">
        <v>14</v>
      </c>
      <c r="D704" s="1" t="s">
        <v>13</v>
      </c>
      <c r="E704" s="1" t="s">
        <v>13</v>
      </c>
      <c r="F704" s="3">
        <v>0</v>
      </c>
      <c r="G704" s="1" t="s">
        <v>91</v>
      </c>
      <c r="H704" s="1" t="s">
        <v>20</v>
      </c>
      <c r="I704" s="1" t="s">
        <v>26</v>
      </c>
      <c r="J704" s="7">
        <v>92</v>
      </c>
      <c r="K704" s="7">
        <v>103.56</v>
      </c>
      <c r="L704" s="8">
        <v>1288</v>
      </c>
      <c r="M704" s="8">
        <v>1449.8400000000001</v>
      </c>
      <c r="N704">
        <v>11</v>
      </c>
      <c r="O704" t="s">
        <v>126</v>
      </c>
      <c r="P704" t="s">
        <v>121</v>
      </c>
    </row>
    <row r="705" spans="1:16" x14ac:dyDescent="0.25">
      <c r="A705" s="10">
        <v>45454</v>
      </c>
      <c r="B705" s="1" t="s">
        <v>50</v>
      </c>
      <c r="C705" s="2">
        <v>2</v>
      </c>
      <c r="D705" s="1" t="s">
        <v>13</v>
      </c>
      <c r="E705" s="1" t="s">
        <v>13</v>
      </c>
      <c r="F705" s="3">
        <v>0</v>
      </c>
      <c r="G705" s="1" t="s">
        <v>51</v>
      </c>
      <c r="H705" s="1" t="s">
        <v>33</v>
      </c>
      <c r="I705" s="1" t="s">
        <v>26</v>
      </c>
      <c r="J705" s="7">
        <v>111</v>
      </c>
      <c r="K705" s="7">
        <v>124.42</v>
      </c>
      <c r="L705" s="8">
        <v>222</v>
      </c>
      <c r="M705" s="8">
        <v>248.84</v>
      </c>
      <c r="N705">
        <v>11</v>
      </c>
      <c r="O705" t="s">
        <v>126</v>
      </c>
      <c r="P705" t="s">
        <v>121</v>
      </c>
    </row>
    <row r="706" spans="1:16" x14ac:dyDescent="0.25">
      <c r="A706" s="10">
        <v>45455</v>
      </c>
      <c r="B706" s="1" t="s">
        <v>88</v>
      </c>
      <c r="C706" s="2">
        <v>1</v>
      </c>
      <c r="D706" s="1" t="s">
        <v>13</v>
      </c>
      <c r="E706" s="1" t="s">
        <v>23</v>
      </c>
      <c r="F706" s="3">
        <v>0</v>
      </c>
      <c r="G706" s="1" t="s">
        <v>89</v>
      </c>
      <c r="H706" s="1" t="s">
        <v>33</v>
      </c>
      <c r="I706" s="1" t="s">
        <v>26</v>
      </c>
      <c r="J706" s="7">
        <v>80</v>
      </c>
      <c r="K706" s="7">
        <v>91.45</v>
      </c>
      <c r="L706" s="8">
        <v>80</v>
      </c>
      <c r="M706" s="8">
        <v>91.45</v>
      </c>
      <c r="N706">
        <v>12</v>
      </c>
      <c r="O706" t="s">
        <v>126</v>
      </c>
      <c r="P706" t="s">
        <v>121</v>
      </c>
    </row>
    <row r="707" spans="1:16" x14ac:dyDescent="0.25">
      <c r="A707" s="10">
        <v>45455</v>
      </c>
      <c r="B707" s="1" t="s">
        <v>82</v>
      </c>
      <c r="C707" s="2">
        <v>10</v>
      </c>
      <c r="D707" s="1" t="s">
        <v>18</v>
      </c>
      <c r="E707" s="1" t="s">
        <v>23</v>
      </c>
      <c r="F707" s="3">
        <v>0.05</v>
      </c>
      <c r="G707" s="1" t="s">
        <v>83</v>
      </c>
      <c r="H707" s="1" t="s">
        <v>33</v>
      </c>
      <c r="I707" s="1" t="s">
        <v>16</v>
      </c>
      <c r="J707" s="7">
        <v>12</v>
      </c>
      <c r="K707" s="7">
        <v>13.11</v>
      </c>
      <c r="L707" s="8">
        <v>120</v>
      </c>
      <c r="M707" s="8">
        <v>131.1</v>
      </c>
      <c r="N707">
        <v>12</v>
      </c>
      <c r="O707" t="s">
        <v>126</v>
      </c>
      <c r="P707" t="s">
        <v>121</v>
      </c>
    </row>
    <row r="708" spans="1:16" x14ac:dyDescent="0.25">
      <c r="A708" s="10">
        <v>45457</v>
      </c>
      <c r="B708" s="1" t="s">
        <v>78</v>
      </c>
      <c r="C708" s="2">
        <v>9</v>
      </c>
      <c r="D708" s="1" t="s">
        <v>13</v>
      </c>
      <c r="E708" s="1" t="s">
        <v>23</v>
      </c>
      <c r="F708" s="3">
        <v>0</v>
      </c>
      <c r="G708" s="1" t="s">
        <v>79</v>
      </c>
      <c r="H708" s="1" t="s">
        <v>33</v>
      </c>
      <c r="I708" s="1" t="s">
        <v>21</v>
      </c>
      <c r="J708" s="7">
        <v>43</v>
      </c>
      <c r="K708" s="7">
        <v>50.42</v>
      </c>
      <c r="L708" s="8">
        <v>387</v>
      </c>
      <c r="M708" s="8">
        <v>453.78000000000003</v>
      </c>
      <c r="N708">
        <v>14</v>
      </c>
      <c r="O708" t="s">
        <v>126</v>
      </c>
      <c r="P708" t="s">
        <v>121</v>
      </c>
    </row>
    <row r="709" spans="1:16" x14ac:dyDescent="0.25">
      <c r="A709" s="10">
        <v>45459</v>
      </c>
      <c r="B709" s="1" t="s">
        <v>100</v>
      </c>
      <c r="C709" s="2">
        <v>14</v>
      </c>
      <c r="D709" s="1" t="s">
        <v>13</v>
      </c>
      <c r="E709" s="1" t="s">
        <v>23</v>
      </c>
      <c r="F709" s="3">
        <v>0</v>
      </c>
      <c r="G709" s="1" t="s">
        <v>101</v>
      </c>
      <c r="H709" s="1" t="s">
        <v>25</v>
      </c>
      <c r="I709" s="1" t="s">
        <v>26</v>
      </c>
      <c r="J709" s="7">
        <v>95</v>
      </c>
      <c r="K709" s="7">
        <v>104.81</v>
      </c>
      <c r="L709" s="8">
        <v>1330</v>
      </c>
      <c r="M709" s="8">
        <v>1467.3400000000001</v>
      </c>
      <c r="N709">
        <v>16</v>
      </c>
      <c r="O709" t="s">
        <v>126</v>
      </c>
      <c r="P709" t="s">
        <v>121</v>
      </c>
    </row>
    <row r="710" spans="1:16" x14ac:dyDescent="0.25">
      <c r="A710" s="10">
        <v>45461</v>
      </c>
      <c r="B710" s="1" t="s">
        <v>84</v>
      </c>
      <c r="C710" s="2">
        <v>9</v>
      </c>
      <c r="D710" s="1" t="s">
        <v>13</v>
      </c>
      <c r="E710" s="1" t="s">
        <v>23</v>
      </c>
      <c r="F710" s="3">
        <v>0</v>
      </c>
      <c r="G710" s="1" t="s">
        <v>85</v>
      </c>
      <c r="H710" s="1" t="s">
        <v>33</v>
      </c>
      <c r="I710" s="1" t="s">
        <v>38</v>
      </c>
      <c r="J710" s="7">
        <v>132</v>
      </c>
      <c r="K710" s="7">
        <v>152.11000000000001</v>
      </c>
      <c r="L710" s="8">
        <v>1188</v>
      </c>
      <c r="M710" s="8">
        <v>1368.9900000000002</v>
      </c>
      <c r="N710">
        <v>18</v>
      </c>
      <c r="O710" t="s">
        <v>126</v>
      </c>
      <c r="P710" t="s">
        <v>121</v>
      </c>
    </row>
    <row r="711" spans="1:16" x14ac:dyDescent="0.25">
      <c r="A711" s="10">
        <v>45462</v>
      </c>
      <c r="B711" s="1" t="s">
        <v>74</v>
      </c>
      <c r="C711" s="2">
        <v>11</v>
      </c>
      <c r="D711" s="1" t="s">
        <v>13</v>
      </c>
      <c r="E711" s="1" t="s">
        <v>23</v>
      </c>
      <c r="F711" s="3">
        <v>0</v>
      </c>
      <c r="G711" s="1" t="s">
        <v>75</v>
      </c>
      <c r="H711" s="1" t="s">
        <v>20</v>
      </c>
      <c r="I711" s="1" t="s">
        <v>21</v>
      </c>
      <c r="J711" s="7">
        <v>51</v>
      </c>
      <c r="K711" s="7">
        <v>59.13</v>
      </c>
      <c r="L711" s="8">
        <v>561</v>
      </c>
      <c r="M711" s="8">
        <v>650.43000000000006</v>
      </c>
      <c r="N711">
        <v>19</v>
      </c>
      <c r="O711" t="s">
        <v>126</v>
      </c>
      <c r="P711" t="s">
        <v>121</v>
      </c>
    </row>
    <row r="712" spans="1:16" x14ac:dyDescent="0.25">
      <c r="A712" s="10">
        <v>45464</v>
      </c>
      <c r="B712" s="1" t="s">
        <v>92</v>
      </c>
      <c r="C712" s="2">
        <v>2</v>
      </c>
      <c r="D712" s="1" t="s">
        <v>18</v>
      </c>
      <c r="E712" s="1" t="s">
        <v>13</v>
      </c>
      <c r="F712" s="3">
        <v>0</v>
      </c>
      <c r="G712" s="1" t="s">
        <v>93</v>
      </c>
      <c r="H712" s="1" t="s">
        <v>33</v>
      </c>
      <c r="I712" s="1" t="s">
        <v>26</v>
      </c>
      <c r="J712" s="7">
        <v>79</v>
      </c>
      <c r="K712" s="7">
        <v>91.69</v>
      </c>
      <c r="L712" s="8">
        <v>158</v>
      </c>
      <c r="M712" s="8">
        <v>183.38</v>
      </c>
      <c r="N712">
        <v>21</v>
      </c>
      <c r="O712" t="s">
        <v>126</v>
      </c>
      <c r="P712" t="s">
        <v>121</v>
      </c>
    </row>
    <row r="713" spans="1:16" x14ac:dyDescent="0.25">
      <c r="A713" s="10">
        <v>45464</v>
      </c>
      <c r="B713" s="1" t="s">
        <v>104</v>
      </c>
      <c r="C713" s="2">
        <v>2</v>
      </c>
      <c r="D713" s="1" t="s">
        <v>12</v>
      </c>
      <c r="E713" s="1" t="s">
        <v>13</v>
      </c>
      <c r="F713" s="3">
        <v>0.08</v>
      </c>
      <c r="G713" s="1" t="s">
        <v>105</v>
      </c>
      <c r="H713" s="1" t="s">
        <v>33</v>
      </c>
      <c r="I713" s="1" t="s">
        <v>26</v>
      </c>
      <c r="J713" s="7">
        <v>98</v>
      </c>
      <c r="K713" s="7">
        <v>100.05</v>
      </c>
      <c r="L713" s="8">
        <v>196</v>
      </c>
      <c r="M713" s="8">
        <v>200.1</v>
      </c>
      <c r="N713">
        <v>21</v>
      </c>
      <c r="O713" t="s">
        <v>126</v>
      </c>
      <c r="P713" t="s">
        <v>121</v>
      </c>
    </row>
    <row r="714" spans="1:16" x14ac:dyDescent="0.25">
      <c r="A714" s="10">
        <v>45464</v>
      </c>
      <c r="B714" s="1" t="s">
        <v>44</v>
      </c>
      <c r="C714" s="2">
        <v>5</v>
      </c>
      <c r="D714" s="1" t="s">
        <v>18</v>
      </c>
      <c r="E714" s="1" t="s">
        <v>23</v>
      </c>
      <c r="F714" s="3">
        <v>0</v>
      </c>
      <c r="G714" s="1" t="s">
        <v>45</v>
      </c>
      <c r="H714" s="1" t="s">
        <v>15</v>
      </c>
      <c r="I714" s="1" t="s">
        <v>38</v>
      </c>
      <c r="J714" s="7">
        <v>116</v>
      </c>
      <c r="K714" s="7">
        <v>133.66</v>
      </c>
      <c r="L714" s="8">
        <v>580</v>
      </c>
      <c r="M714" s="8">
        <v>668.3</v>
      </c>
      <c r="N714">
        <v>21</v>
      </c>
      <c r="O714" t="s">
        <v>126</v>
      </c>
      <c r="P714" t="s">
        <v>121</v>
      </c>
    </row>
    <row r="715" spans="1:16" x14ac:dyDescent="0.25">
      <c r="A715" s="10">
        <v>45465</v>
      </c>
      <c r="B715" s="1" t="s">
        <v>56</v>
      </c>
      <c r="C715" s="2">
        <v>3</v>
      </c>
      <c r="D715" s="1" t="s">
        <v>13</v>
      </c>
      <c r="E715" s="1" t="s">
        <v>13</v>
      </c>
      <c r="F715" s="3">
        <v>0</v>
      </c>
      <c r="G715" s="1" t="s">
        <v>57</v>
      </c>
      <c r="H715" s="1" t="s">
        <v>20</v>
      </c>
      <c r="I715" s="1" t="s">
        <v>26</v>
      </c>
      <c r="J715" s="7">
        <v>85</v>
      </c>
      <c r="K715" s="7">
        <v>96.16</v>
      </c>
      <c r="L715" s="8">
        <v>255</v>
      </c>
      <c r="M715" s="8">
        <v>288.48</v>
      </c>
      <c r="N715">
        <v>22</v>
      </c>
      <c r="O715" t="s">
        <v>126</v>
      </c>
      <c r="P715" t="s">
        <v>121</v>
      </c>
    </row>
    <row r="716" spans="1:16" x14ac:dyDescent="0.25">
      <c r="A716" s="10">
        <v>45467</v>
      </c>
      <c r="B716" s="1" t="s">
        <v>60</v>
      </c>
      <c r="C716" s="2">
        <v>9</v>
      </c>
      <c r="D716" s="1" t="s">
        <v>13</v>
      </c>
      <c r="E716" s="1" t="s">
        <v>13</v>
      </c>
      <c r="F716" s="3">
        <v>0.05</v>
      </c>
      <c r="G716" s="1" t="s">
        <v>61</v>
      </c>
      <c r="H716" s="1" t="s">
        <v>15</v>
      </c>
      <c r="I716" s="1" t="s">
        <v>26</v>
      </c>
      <c r="J716" s="7">
        <v>91</v>
      </c>
      <c r="K716" s="7">
        <v>99.08</v>
      </c>
      <c r="L716" s="8">
        <v>819</v>
      </c>
      <c r="M716" s="8">
        <v>891.72</v>
      </c>
      <c r="N716">
        <v>24</v>
      </c>
      <c r="O716" t="s">
        <v>126</v>
      </c>
      <c r="P716" t="s">
        <v>121</v>
      </c>
    </row>
    <row r="717" spans="1:16" x14ac:dyDescent="0.25">
      <c r="A717" s="10">
        <v>45468</v>
      </c>
      <c r="B717" s="1" t="s">
        <v>11</v>
      </c>
      <c r="C717" s="2">
        <v>8</v>
      </c>
      <c r="D717" s="1" t="s">
        <v>12</v>
      </c>
      <c r="E717" s="1" t="s">
        <v>13</v>
      </c>
      <c r="F717" s="3">
        <v>0</v>
      </c>
      <c r="G717" s="1" t="s">
        <v>14</v>
      </c>
      <c r="H717" s="1" t="s">
        <v>15</v>
      </c>
      <c r="I717" s="1" t="s">
        <v>16</v>
      </c>
      <c r="J717" s="7">
        <v>8</v>
      </c>
      <c r="K717" s="7">
        <v>9.1</v>
      </c>
      <c r="L717" s="8">
        <v>64</v>
      </c>
      <c r="M717" s="8">
        <v>72.8</v>
      </c>
      <c r="N717">
        <v>25</v>
      </c>
      <c r="O717" t="s">
        <v>126</v>
      </c>
      <c r="P717" t="s">
        <v>121</v>
      </c>
    </row>
    <row r="718" spans="1:16" x14ac:dyDescent="0.25">
      <c r="A718" s="10">
        <v>45468</v>
      </c>
      <c r="B718" s="1" t="s">
        <v>90</v>
      </c>
      <c r="C718" s="2">
        <v>7</v>
      </c>
      <c r="D718" s="1" t="s">
        <v>13</v>
      </c>
      <c r="E718" s="1" t="s">
        <v>23</v>
      </c>
      <c r="F718" s="3">
        <v>0</v>
      </c>
      <c r="G718" s="1" t="s">
        <v>91</v>
      </c>
      <c r="H718" s="1" t="s">
        <v>20</v>
      </c>
      <c r="I718" s="1" t="s">
        <v>26</v>
      </c>
      <c r="J718" s="7">
        <v>98</v>
      </c>
      <c r="K718" s="7">
        <v>110.65</v>
      </c>
      <c r="L718" s="8">
        <v>686</v>
      </c>
      <c r="M718" s="8">
        <v>774.55000000000007</v>
      </c>
      <c r="N718">
        <v>25</v>
      </c>
      <c r="O718" t="s">
        <v>126</v>
      </c>
      <c r="P718" t="s">
        <v>121</v>
      </c>
    </row>
    <row r="719" spans="1:16" x14ac:dyDescent="0.25">
      <c r="A719" s="10">
        <v>45469</v>
      </c>
      <c r="B719" s="1" t="s">
        <v>56</v>
      </c>
      <c r="C719" s="2">
        <v>9</v>
      </c>
      <c r="D719" s="1" t="s">
        <v>18</v>
      </c>
      <c r="E719" s="1" t="s">
        <v>23</v>
      </c>
      <c r="F719" s="3">
        <v>0</v>
      </c>
      <c r="G719" s="1" t="s">
        <v>57</v>
      </c>
      <c r="H719" s="1" t="s">
        <v>20</v>
      </c>
      <c r="I719" s="1" t="s">
        <v>26</v>
      </c>
      <c r="J719" s="7">
        <v>84</v>
      </c>
      <c r="K719" s="7">
        <v>95.86</v>
      </c>
      <c r="L719" s="8">
        <v>756</v>
      </c>
      <c r="M719" s="8">
        <v>862.74</v>
      </c>
      <c r="N719">
        <v>26</v>
      </c>
      <c r="O719" t="s">
        <v>126</v>
      </c>
      <c r="P719" t="s">
        <v>121</v>
      </c>
    </row>
    <row r="720" spans="1:16" x14ac:dyDescent="0.25">
      <c r="A720" s="10">
        <v>45469</v>
      </c>
      <c r="B720" s="1" t="s">
        <v>72</v>
      </c>
      <c r="C720" s="2">
        <v>11</v>
      </c>
      <c r="D720" s="1" t="s">
        <v>18</v>
      </c>
      <c r="E720" s="1" t="s">
        <v>23</v>
      </c>
      <c r="F720" s="3">
        <v>0</v>
      </c>
      <c r="G720" s="1" t="s">
        <v>73</v>
      </c>
      <c r="H720" s="1" t="s">
        <v>33</v>
      </c>
      <c r="I720" s="1" t="s">
        <v>26</v>
      </c>
      <c r="J720" s="7">
        <v>73</v>
      </c>
      <c r="K720" s="7">
        <v>85.17</v>
      </c>
      <c r="L720" s="8">
        <v>803</v>
      </c>
      <c r="M720" s="8">
        <v>936.87</v>
      </c>
      <c r="N720">
        <v>26</v>
      </c>
      <c r="O720" t="s">
        <v>126</v>
      </c>
      <c r="P720" t="s">
        <v>121</v>
      </c>
    </row>
    <row r="721" spans="1:16" x14ac:dyDescent="0.25">
      <c r="A721" s="10">
        <v>45470</v>
      </c>
      <c r="B721" s="1" t="s">
        <v>78</v>
      </c>
      <c r="C721" s="2">
        <v>9</v>
      </c>
      <c r="D721" s="1" t="s">
        <v>13</v>
      </c>
      <c r="E721" s="1" t="s">
        <v>23</v>
      </c>
      <c r="F721" s="3">
        <v>0</v>
      </c>
      <c r="G721" s="1" t="s">
        <v>79</v>
      </c>
      <c r="H721" s="1" t="s">
        <v>33</v>
      </c>
      <c r="I721" s="1" t="s">
        <v>21</v>
      </c>
      <c r="J721" s="7">
        <v>44</v>
      </c>
      <c r="K721" s="7">
        <v>51.75</v>
      </c>
      <c r="L721" s="8">
        <v>396</v>
      </c>
      <c r="M721" s="8">
        <v>465.75</v>
      </c>
      <c r="N721">
        <v>27</v>
      </c>
      <c r="O721" t="s">
        <v>126</v>
      </c>
      <c r="P721" t="s">
        <v>121</v>
      </c>
    </row>
    <row r="722" spans="1:16" x14ac:dyDescent="0.25">
      <c r="A722" s="10">
        <v>45470</v>
      </c>
      <c r="B722" s="1" t="s">
        <v>22</v>
      </c>
      <c r="C722" s="2">
        <v>4</v>
      </c>
      <c r="D722" s="1" t="s">
        <v>13</v>
      </c>
      <c r="E722" s="1" t="s">
        <v>23</v>
      </c>
      <c r="F722" s="3">
        <v>0</v>
      </c>
      <c r="G722" s="1" t="s">
        <v>24</v>
      </c>
      <c r="H722" s="1" t="s">
        <v>25</v>
      </c>
      <c r="I722" s="1" t="s">
        <v>26</v>
      </c>
      <c r="J722" s="7">
        <v>123</v>
      </c>
      <c r="K722" s="7">
        <v>141.87</v>
      </c>
      <c r="L722" s="8">
        <v>492</v>
      </c>
      <c r="M722" s="8">
        <v>567.48</v>
      </c>
      <c r="N722">
        <v>27</v>
      </c>
      <c r="O722" t="s">
        <v>126</v>
      </c>
      <c r="P722" t="s">
        <v>121</v>
      </c>
    </row>
    <row r="723" spans="1:16" x14ac:dyDescent="0.25">
      <c r="A723" s="10">
        <v>45470</v>
      </c>
      <c r="B723" s="1" t="s">
        <v>86</v>
      </c>
      <c r="C723" s="2">
        <v>7</v>
      </c>
      <c r="D723" s="1" t="s">
        <v>13</v>
      </c>
      <c r="E723" s="1" t="s">
        <v>23</v>
      </c>
      <c r="F723" s="3">
        <v>0.05</v>
      </c>
      <c r="G723" s="1" t="s">
        <v>87</v>
      </c>
      <c r="H723" s="1" t="s">
        <v>20</v>
      </c>
      <c r="I723" s="1" t="s">
        <v>21</v>
      </c>
      <c r="J723" s="7">
        <v>56</v>
      </c>
      <c r="K723" s="7">
        <v>57.52</v>
      </c>
      <c r="L723" s="8">
        <v>392</v>
      </c>
      <c r="M723" s="8">
        <v>402.64000000000004</v>
      </c>
      <c r="N723">
        <v>27</v>
      </c>
      <c r="O723" t="s">
        <v>126</v>
      </c>
      <c r="P723" t="s">
        <v>121</v>
      </c>
    </row>
    <row r="724" spans="1:16" x14ac:dyDescent="0.25">
      <c r="A724" s="10">
        <v>45470</v>
      </c>
      <c r="B724" s="1" t="s">
        <v>27</v>
      </c>
      <c r="C724" s="2">
        <v>3</v>
      </c>
      <c r="D724" s="1" t="s">
        <v>12</v>
      </c>
      <c r="E724" s="1" t="s">
        <v>13</v>
      </c>
      <c r="F724" s="3">
        <v>0</v>
      </c>
      <c r="G724" s="1" t="s">
        <v>28</v>
      </c>
      <c r="H724" s="1" t="s">
        <v>25</v>
      </c>
      <c r="I724" s="1" t="s">
        <v>26</v>
      </c>
      <c r="J724" s="7">
        <v>49</v>
      </c>
      <c r="K724" s="7">
        <v>57.42</v>
      </c>
      <c r="L724" s="8">
        <v>147</v>
      </c>
      <c r="M724" s="8">
        <v>172.26</v>
      </c>
      <c r="N724">
        <v>27</v>
      </c>
      <c r="O724" t="s">
        <v>126</v>
      </c>
      <c r="P724" t="s">
        <v>121</v>
      </c>
    </row>
    <row r="725" spans="1:16" x14ac:dyDescent="0.25">
      <c r="A725" s="10">
        <v>45472</v>
      </c>
      <c r="B725" s="1" t="s">
        <v>11</v>
      </c>
      <c r="C725" s="2">
        <v>14</v>
      </c>
      <c r="D725" s="1" t="s">
        <v>13</v>
      </c>
      <c r="E725" s="1" t="s">
        <v>23</v>
      </c>
      <c r="F725" s="3">
        <v>0</v>
      </c>
      <c r="G725" s="1" t="s">
        <v>14</v>
      </c>
      <c r="H725" s="1" t="s">
        <v>15</v>
      </c>
      <c r="I725" s="1" t="s">
        <v>16</v>
      </c>
      <c r="J725" s="7">
        <v>8</v>
      </c>
      <c r="K725" s="7">
        <v>8.77</v>
      </c>
      <c r="L725" s="8">
        <v>112</v>
      </c>
      <c r="M725" s="8">
        <v>122.78</v>
      </c>
      <c r="N725">
        <v>29</v>
      </c>
      <c r="O725" t="s">
        <v>126</v>
      </c>
      <c r="P725" t="s">
        <v>121</v>
      </c>
    </row>
    <row r="726" spans="1:16" x14ac:dyDescent="0.25">
      <c r="A726" s="10">
        <v>45475</v>
      </c>
      <c r="B726" s="1" t="s">
        <v>112</v>
      </c>
      <c r="C726" s="2">
        <v>3</v>
      </c>
      <c r="D726" s="1" t="s">
        <v>18</v>
      </c>
      <c r="E726" s="1" t="s">
        <v>13</v>
      </c>
      <c r="F726" s="3">
        <v>0</v>
      </c>
      <c r="G726" s="1" t="s">
        <v>113</v>
      </c>
      <c r="H726" s="1" t="s">
        <v>20</v>
      </c>
      <c r="I726" s="1" t="s">
        <v>16</v>
      </c>
      <c r="J726" s="7">
        <v>9</v>
      </c>
      <c r="K726" s="7">
        <v>10.16</v>
      </c>
      <c r="L726" s="8">
        <v>27</v>
      </c>
      <c r="M726" s="8">
        <v>30.48</v>
      </c>
      <c r="N726">
        <v>2</v>
      </c>
      <c r="O726" t="s">
        <v>127</v>
      </c>
      <c r="P726" t="s">
        <v>121</v>
      </c>
    </row>
    <row r="727" spans="1:16" x14ac:dyDescent="0.25">
      <c r="A727" s="10">
        <v>45478</v>
      </c>
      <c r="B727" s="1" t="s">
        <v>60</v>
      </c>
      <c r="C727" s="2">
        <v>5</v>
      </c>
      <c r="D727" s="1" t="s">
        <v>13</v>
      </c>
      <c r="E727" s="1" t="s">
        <v>13</v>
      </c>
      <c r="F727" s="3">
        <v>0</v>
      </c>
      <c r="G727" s="1" t="s">
        <v>61</v>
      </c>
      <c r="H727" s="1" t="s">
        <v>15</v>
      </c>
      <c r="I727" s="1" t="s">
        <v>26</v>
      </c>
      <c r="J727" s="7">
        <v>87</v>
      </c>
      <c r="K727" s="7">
        <v>94.02</v>
      </c>
      <c r="L727" s="8">
        <v>435</v>
      </c>
      <c r="M727" s="8">
        <v>470.09999999999997</v>
      </c>
      <c r="N727">
        <v>5</v>
      </c>
      <c r="O727" t="s">
        <v>127</v>
      </c>
      <c r="P727" t="s">
        <v>121</v>
      </c>
    </row>
    <row r="728" spans="1:16" x14ac:dyDescent="0.25">
      <c r="A728" s="10">
        <v>45478</v>
      </c>
      <c r="B728" s="1" t="s">
        <v>104</v>
      </c>
      <c r="C728" s="2">
        <v>1</v>
      </c>
      <c r="D728" s="1" t="s">
        <v>13</v>
      </c>
      <c r="E728" s="1" t="s">
        <v>13</v>
      </c>
      <c r="F728" s="3">
        <v>0</v>
      </c>
      <c r="G728" s="1" t="s">
        <v>105</v>
      </c>
      <c r="H728" s="1" t="s">
        <v>33</v>
      </c>
      <c r="I728" s="1" t="s">
        <v>26</v>
      </c>
      <c r="J728" s="7">
        <v>95</v>
      </c>
      <c r="K728" s="7">
        <v>103.08</v>
      </c>
      <c r="L728" s="8">
        <v>95</v>
      </c>
      <c r="M728" s="8">
        <v>103.08</v>
      </c>
      <c r="N728">
        <v>5</v>
      </c>
      <c r="O728" t="s">
        <v>127</v>
      </c>
      <c r="P728" t="s">
        <v>121</v>
      </c>
    </row>
    <row r="729" spans="1:16" x14ac:dyDescent="0.25">
      <c r="A729" s="10">
        <v>45479</v>
      </c>
      <c r="B729" s="1" t="s">
        <v>22</v>
      </c>
      <c r="C729" s="2">
        <v>5</v>
      </c>
      <c r="D729" s="1" t="s">
        <v>12</v>
      </c>
      <c r="E729" s="1" t="s">
        <v>13</v>
      </c>
      <c r="F729" s="3">
        <v>0</v>
      </c>
      <c r="G729" s="1" t="s">
        <v>24</v>
      </c>
      <c r="H729" s="1" t="s">
        <v>25</v>
      </c>
      <c r="I729" s="1" t="s">
        <v>26</v>
      </c>
      <c r="J729" s="7">
        <v>116</v>
      </c>
      <c r="K729" s="7">
        <v>134.46</v>
      </c>
      <c r="L729" s="8">
        <v>580</v>
      </c>
      <c r="M729" s="8">
        <v>672.30000000000007</v>
      </c>
      <c r="N729">
        <v>6</v>
      </c>
      <c r="O729" t="s">
        <v>127</v>
      </c>
      <c r="P729" t="s">
        <v>121</v>
      </c>
    </row>
    <row r="730" spans="1:16" x14ac:dyDescent="0.25">
      <c r="A730" s="10">
        <v>45479</v>
      </c>
      <c r="B730" s="1" t="s">
        <v>94</v>
      </c>
      <c r="C730" s="2">
        <v>1</v>
      </c>
      <c r="D730" s="1" t="s">
        <v>13</v>
      </c>
      <c r="E730" s="1" t="s">
        <v>13</v>
      </c>
      <c r="F730" s="3">
        <v>0</v>
      </c>
      <c r="G730" s="1" t="s">
        <v>95</v>
      </c>
      <c r="H730" s="1" t="s">
        <v>20</v>
      </c>
      <c r="I730" s="1" t="s">
        <v>26</v>
      </c>
      <c r="J730" s="7">
        <v>60</v>
      </c>
      <c r="K730" s="7">
        <v>67.59</v>
      </c>
      <c r="L730" s="8">
        <v>60</v>
      </c>
      <c r="M730" s="8">
        <v>67.59</v>
      </c>
      <c r="N730">
        <v>6</v>
      </c>
      <c r="O730" t="s">
        <v>127</v>
      </c>
      <c r="P730" t="s">
        <v>121</v>
      </c>
    </row>
    <row r="731" spans="1:16" x14ac:dyDescent="0.25">
      <c r="A731" s="10">
        <v>45480</v>
      </c>
      <c r="B731" s="1" t="s">
        <v>74</v>
      </c>
      <c r="C731" s="2">
        <v>10</v>
      </c>
      <c r="D731" s="1" t="s">
        <v>18</v>
      </c>
      <c r="E731" s="1" t="s">
        <v>23</v>
      </c>
      <c r="F731" s="3">
        <v>0</v>
      </c>
      <c r="G731" s="1" t="s">
        <v>75</v>
      </c>
      <c r="H731" s="1" t="s">
        <v>20</v>
      </c>
      <c r="I731" s="1" t="s">
        <v>21</v>
      </c>
      <c r="J731" s="7">
        <v>51</v>
      </c>
      <c r="K731" s="7">
        <v>59.13</v>
      </c>
      <c r="L731" s="8">
        <v>510</v>
      </c>
      <c r="M731" s="8">
        <v>591.30000000000007</v>
      </c>
      <c r="N731">
        <v>7</v>
      </c>
      <c r="O731" t="s">
        <v>127</v>
      </c>
      <c r="P731" t="s">
        <v>121</v>
      </c>
    </row>
    <row r="732" spans="1:16" x14ac:dyDescent="0.25">
      <c r="A732" s="10">
        <v>45480</v>
      </c>
      <c r="B732" s="1" t="s">
        <v>31</v>
      </c>
      <c r="C732" s="2">
        <v>15</v>
      </c>
      <c r="D732" s="1" t="s">
        <v>13</v>
      </c>
      <c r="E732" s="1" t="s">
        <v>23</v>
      </c>
      <c r="F732" s="3">
        <v>0.05</v>
      </c>
      <c r="G732" s="1" t="s">
        <v>32</v>
      </c>
      <c r="H732" s="1" t="s">
        <v>33</v>
      </c>
      <c r="I732" s="1" t="s">
        <v>21</v>
      </c>
      <c r="J732" s="7">
        <v>67</v>
      </c>
      <c r="K732" s="7">
        <v>69.650000000000006</v>
      </c>
      <c r="L732" s="8">
        <v>1005</v>
      </c>
      <c r="M732" s="8">
        <v>1044.75</v>
      </c>
      <c r="N732">
        <v>7</v>
      </c>
      <c r="O732" t="s">
        <v>127</v>
      </c>
      <c r="P732" t="s">
        <v>121</v>
      </c>
    </row>
    <row r="733" spans="1:16" x14ac:dyDescent="0.25">
      <c r="A733" s="10">
        <v>45481</v>
      </c>
      <c r="B733" s="1" t="s">
        <v>100</v>
      </c>
      <c r="C733" s="2">
        <v>6</v>
      </c>
      <c r="D733" s="1" t="s">
        <v>13</v>
      </c>
      <c r="E733" s="1" t="s">
        <v>23</v>
      </c>
      <c r="F733" s="3">
        <v>0</v>
      </c>
      <c r="G733" s="1" t="s">
        <v>101</v>
      </c>
      <c r="H733" s="1" t="s">
        <v>25</v>
      </c>
      <c r="I733" s="1" t="s">
        <v>26</v>
      </c>
      <c r="J733" s="7">
        <v>91</v>
      </c>
      <c r="K733" s="7">
        <v>104.16</v>
      </c>
      <c r="L733" s="8">
        <v>546</v>
      </c>
      <c r="M733" s="8">
        <v>624.96</v>
      </c>
      <c r="N733">
        <v>8</v>
      </c>
      <c r="O733" t="s">
        <v>127</v>
      </c>
      <c r="P733" t="s">
        <v>121</v>
      </c>
    </row>
    <row r="734" spans="1:16" x14ac:dyDescent="0.25">
      <c r="A734" s="10">
        <v>45481</v>
      </c>
      <c r="B734" s="1" t="s">
        <v>74</v>
      </c>
      <c r="C734" s="2">
        <v>2</v>
      </c>
      <c r="D734" s="1" t="s">
        <v>13</v>
      </c>
      <c r="E734" s="1" t="s">
        <v>23</v>
      </c>
      <c r="F734" s="3">
        <v>0</v>
      </c>
      <c r="G734" s="1" t="s">
        <v>75</v>
      </c>
      <c r="H734" s="1" t="s">
        <v>20</v>
      </c>
      <c r="I734" s="1" t="s">
        <v>21</v>
      </c>
      <c r="J734" s="7">
        <v>49</v>
      </c>
      <c r="K734" s="7">
        <v>57.24</v>
      </c>
      <c r="L734" s="8">
        <v>98</v>
      </c>
      <c r="M734" s="8">
        <v>114.48</v>
      </c>
      <c r="N734">
        <v>8</v>
      </c>
      <c r="O734" t="s">
        <v>127</v>
      </c>
      <c r="P734" t="s">
        <v>121</v>
      </c>
    </row>
    <row r="735" spans="1:16" x14ac:dyDescent="0.25">
      <c r="A735" s="10">
        <v>45483</v>
      </c>
      <c r="B735" s="1" t="s">
        <v>78</v>
      </c>
      <c r="C735" s="2">
        <v>1</v>
      </c>
      <c r="D735" s="1" t="s">
        <v>12</v>
      </c>
      <c r="E735" s="1" t="s">
        <v>23</v>
      </c>
      <c r="F735" s="3">
        <v>0.1</v>
      </c>
      <c r="G735" s="1" t="s">
        <v>79</v>
      </c>
      <c r="H735" s="1" t="s">
        <v>33</v>
      </c>
      <c r="I735" s="1" t="s">
        <v>21</v>
      </c>
      <c r="J735" s="7">
        <v>43</v>
      </c>
      <c r="K735" s="7">
        <v>43.48</v>
      </c>
      <c r="L735" s="8">
        <v>43</v>
      </c>
      <c r="M735" s="8">
        <v>43.48</v>
      </c>
      <c r="N735">
        <v>10</v>
      </c>
      <c r="O735" t="s">
        <v>127</v>
      </c>
      <c r="P735" t="s">
        <v>121</v>
      </c>
    </row>
    <row r="736" spans="1:16" x14ac:dyDescent="0.25">
      <c r="A736" s="10">
        <v>45483</v>
      </c>
      <c r="B736" s="1" t="s">
        <v>50</v>
      </c>
      <c r="C736" s="2">
        <v>8</v>
      </c>
      <c r="D736" s="1" t="s">
        <v>18</v>
      </c>
      <c r="E736" s="1" t="s">
        <v>23</v>
      </c>
      <c r="F736" s="3">
        <v>0</v>
      </c>
      <c r="G736" s="1" t="s">
        <v>51</v>
      </c>
      <c r="H736" s="1" t="s">
        <v>33</v>
      </c>
      <c r="I736" s="1" t="s">
        <v>26</v>
      </c>
      <c r="J736" s="7">
        <v>111</v>
      </c>
      <c r="K736" s="7">
        <v>120.49</v>
      </c>
      <c r="L736" s="8">
        <v>888</v>
      </c>
      <c r="M736" s="8">
        <v>963.92</v>
      </c>
      <c r="N736">
        <v>10</v>
      </c>
      <c r="O736" t="s">
        <v>127</v>
      </c>
      <c r="P736" t="s">
        <v>121</v>
      </c>
    </row>
    <row r="737" spans="1:16" x14ac:dyDescent="0.25">
      <c r="A737" s="10">
        <v>45484</v>
      </c>
      <c r="B737" s="1" t="s">
        <v>68</v>
      </c>
      <c r="C737" s="2">
        <v>2</v>
      </c>
      <c r="D737" s="1" t="s">
        <v>13</v>
      </c>
      <c r="E737" s="1" t="s">
        <v>13</v>
      </c>
      <c r="F737" s="3">
        <v>0</v>
      </c>
      <c r="G737" s="1" t="s">
        <v>69</v>
      </c>
      <c r="H737" s="1" t="s">
        <v>15</v>
      </c>
      <c r="I737" s="1" t="s">
        <v>38</v>
      </c>
      <c r="J737" s="7">
        <v>142</v>
      </c>
      <c r="K737" s="7">
        <v>162.57</v>
      </c>
      <c r="L737" s="8">
        <v>284</v>
      </c>
      <c r="M737" s="8">
        <v>325.14</v>
      </c>
      <c r="N737">
        <v>11</v>
      </c>
      <c r="O737" t="s">
        <v>127</v>
      </c>
      <c r="P737" t="s">
        <v>121</v>
      </c>
    </row>
    <row r="738" spans="1:16" x14ac:dyDescent="0.25">
      <c r="A738" s="10">
        <v>45486</v>
      </c>
      <c r="B738" s="1" t="s">
        <v>74</v>
      </c>
      <c r="C738" s="2">
        <v>6</v>
      </c>
      <c r="D738" s="1" t="s">
        <v>18</v>
      </c>
      <c r="E738" s="1" t="s">
        <v>23</v>
      </c>
      <c r="F738" s="3">
        <v>0</v>
      </c>
      <c r="G738" s="1" t="s">
        <v>75</v>
      </c>
      <c r="H738" s="1" t="s">
        <v>20</v>
      </c>
      <c r="I738" s="1" t="s">
        <v>21</v>
      </c>
      <c r="J738" s="7">
        <v>49</v>
      </c>
      <c r="K738" s="7">
        <v>53.09</v>
      </c>
      <c r="L738" s="8">
        <v>294</v>
      </c>
      <c r="M738" s="8">
        <v>318.54000000000002</v>
      </c>
      <c r="N738">
        <v>13</v>
      </c>
      <c r="O738" t="s">
        <v>127</v>
      </c>
      <c r="P738" t="s">
        <v>121</v>
      </c>
    </row>
    <row r="739" spans="1:16" x14ac:dyDescent="0.25">
      <c r="A739" s="10">
        <v>45487</v>
      </c>
      <c r="B739" s="1" t="s">
        <v>48</v>
      </c>
      <c r="C739" s="2">
        <v>5</v>
      </c>
      <c r="D739" s="1" t="s">
        <v>18</v>
      </c>
      <c r="E739" s="1" t="s">
        <v>13</v>
      </c>
      <c r="F739" s="3">
        <v>0</v>
      </c>
      <c r="G739" s="1" t="s">
        <v>49</v>
      </c>
      <c r="H739" s="1" t="s">
        <v>15</v>
      </c>
      <c r="I739" s="1" t="s">
        <v>26</v>
      </c>
      <c r="J739" s="7">
        <v>69</v>
      </c>
      <c r="K739" s="7">
        <v>81.150000000000006</v>
      </c>
      <c r="L739" s="8">
        <v>345</v>
      </c>
      <c r="M739" s="8">
        <v>405.75</v>
      </c>
      <c r="N739">
        <v>14</v>
      </c>
      <c r="O739" t="s">
        <v>127</v>
      </c>
      <c r="P739" t="s">
        <v>121</v>
      </c>
    </row>
    <row r="740" spans="1:16" x14ac:dyDescent="0.25">
      <c r="A740" s="10">
        <v>45487</v>
      </c>
      <c r="B740" s="1" t="s">
        <v>78</v>
      </c>
      <c r="C740" s="2">
        <v>14</v>
      </c>
      <c r="D740" s="1" t="s">
        <v>18</v>
      </c>
      <c r="E740" s="1" t="s">
        <v>13</v>
      </c>
      <c r="F740" s="3">
        <v>0</v>
      </c>
      <c r="G740" s="1" t="s">
        <v>79</v>
      </c>
      <c r="H740" s="1" t="s">
        <v>33</v>
      </c>
      <c r="I740" s="1" t="s">
        <v>21</v>
      </c>
      <c r="J740" s="7">
        <v>43</v>
      </c>
      <c r="K740" s="7">
        <v>47.64</v>
      </c>
      <c r="L740" s="8">
        <v>602</v>
      </c>
      <c r="M740" s="8">
        <v>666.96</v>
      </c>
      <c r="N740">
        <v>14</v>
      </c>
      <c r="O740" t="s">
        <v>127</v>
      </c>
      <c r="P740" t="s">
        <v>121</v>
      </c>
    </row>
    <row r="741" spans="1:16" x14ac:dyDescent="0.25">
      <c r="A741" s="10">
        <v>45488</v>
      </c>
      <c r="B741" s="1" t="s">
        <v>108</v>
      </c>
      <c r="C741" s="2">
        <v>10</v>
      </c>
      <c r="D741" s="1" t="s">
        <v>13</v>
      </c>
      <c r="E741" s="1" t="s">
        <v>13</v>
      </c>
      <c r="F741" s="3">
        <v>0.02</v>
      </c>
      <c r="G741" s="1" t="s">
        <v>109</v>
      </c>
      <c r="H741" s="1" t="s">
        <v>43</v>
      </c>
      <c r="I741" s="1" t="s">
        <v>26</v>
      </c>
      <c r="J741" s="7">
        <v>68</v>
      </c>
      <c r="K741" s="7">
        <v>76.83</v>
      </c>
      <c r="L741" s="8">
        <v>680</v>
      </c>
      <c r="M741" s="8">
        <v>768.3</v>
      </c>
      <c r="N741">
        <v>15</v>
      </c>
      <c r="O741" t="s">
        <v>127</v>
      </c>
      <c r="P741" t="s">
        <v>121</v>
      </c>
    </row>
    <row r="742" spans="1:16" x14ac:dyDescent="0.25">
      <c r="A742" s="10">
        <v>45490</v>
      </c>
      <c r="B742" s="1" t="s">
        <v>44</v>
      </c>
      <c r="C742" s="2">
        <v>9</v>
      </c>
      <c r="D742" s="1" t="s">
        <v>13</v>
      </c>
      <c r="E742" s="1" t="s">
        <v>13</v>
      </c>
      <c r="F742" s="3">
        <v>0</v>
      </c>
      <c r="G742" s="1" t="s">
        <v>45</v>
      </c>
      <c r="H742" s="1" t="s">
        <v>15</v>
      </c>
      <c r="I742" s="1" t="s">
        <v>38</v>
      </c>
      <c r="J742" s="7">
        <v>114</v>
      </c>
      <c r="K742" s="7">
        <v>123.34</v>
      </c>
      <c r="L742" s="8">
        <v>1026</v>
      </c>
      <c r="M742" s="8">
        <v>1110.06</v>
      </c>
      <c r="N742">
        <v>17</v>
      </c>
      <c r="O742" t="s">
        <v>127</v>
      </c>
      <c r="P742" t="s">
        <v>121</v>
      </c>
    </row>
    <row r="743" spans="1:16" x14ac:dyDescent="0.25">
      <c r="A743" s="10">
        <v>45491</v>
      </c>
      <c r="B743" s="1" t="s">
        <v>31</v>
      </c>
      <c r="C743" s="2">
        <v>3</v>
      </c>
      <c r="D743" s="1" t="s">
        <v>12</v>
      </c>
      <c r="E743" s="1" t="s">
        <v>13</v>
      </c>
      <c r="F743" s="3">
        <v>0</v>
      </c>
      <c r="G743" s="1" t="s">
        <v>32</v>
      </c>
      <c r="H743" s="1" t="s">
        <v>33</v>
      </c>
      <c r="I743" s="1" t="s">
        <v>21</v>
      </c>
      <c r="J743" s="7">
        <v>68</v>
      </c>
      <c r="K743" s="7">
        <v>77.03</v>
      </c>
      <c r="L743" s="8">
        <v>204</v>
      </c>
      <c r="M743" s="8">
        <v>231.09</v>
      </c>
      <c r="N743">
        <v>18</v>
      </c>
      <c r="O743" t="s">
        <v>127</v>
      </c>
      <c r="P743" t="s">
        <v>121</v>
      </c>
    </row>
    <row r="744" spans="1:16" x14ac:dyDescent="0.25">
      <c r="A744" s="10">
        <v>45491</v>
      </c>
      <c r="B744" s="1" t="s">
        <v>52</v>
      </c>
      <c r="C744" s="2">
        <v>3</v>
      </c>
      <c r="D744" s="1" t="s">
        <v>18</v>
      </c>
      <c r="E744" s="1" t="s">
        <v>23</v>
      </c>
      <c r="F744" s="3">
        <v>0</v>
      </c>
      <c r="G744" s="1" t="s">
        <v>53</v>
      </c>
      <c r="H744" s="1" t="s">
        <v>25</v>
      </c>
      <c r="I744" s="1" t="s">
        <v>21</v>
      </c>
      <c r="J744" s="7">
        <v>62</v>
      </c>
      <c r="K744" s="7">
        <v>68.61</v>
      </c>
      <c r="L744" s="8">
        <v>186</v>
      </c>
      <c r="M744" s="8">
        <v>205.82999999999998</v>
      </c>
      <c r="N744">
        <v>18</v>
      </c>
      <c r="O744" t="s">
        <v>127</v>
      </c>
      <c r="P744" t="s">
        <v>121</v>
      </c>
    </row>
    <row r="745" spans="1:16" x14ac:dyDescent="0.25">
      <c r="A745" s="10">
        <v>45492</v>
      </c>
      <c r="B745" s="1" t="s">
        <v>29</v>
      </c>
      <c r="C745" s="2">
        <v>3</v>
      </c>
      <c r="D745" s="1" t="s">
        <v>18</v>
      </c>
      <c r="E745" s="1" t="s">
        <v>13</v>
      </c>
      <c r="F745" s="3">
        <v>0</v>
      </c>
      <c r="G745" s="1" t="s">
        <v>30</v>
      </c>
      <c r="H745" s="1" t="s">
        <v>15</v>
      </c>
      <c r="I745" s="1" t="s">
        <v>16</v>
      </c>
      <c r="J745" s="7">
        <v>13</v>
      </c>
      <c r="K745" s="7">
        <v>14.19</v>
      </c>
      <c r="L745" s="8">
        <v>39</v>
      </c>
      <c r="M745" s="8">
        <v>42.57</v>
      </c>
      <c r="N745">
        <v>19</v>
      </c>
      <c r="O745" t="s">
        <v>127</v>
      </c>
      <c r="P745" t="s">
        <v>121</v>
      </c>
    </row>
    <row r="746" spans="1:16" x14ac:dyDescent="0.25">
      <c r="A746" s="10">
        <v>45493</v>
      </c>
      <c r="B746" s="1" t="s">
        <v>27</v>
      </c>
      <c r="C746" s="2">
        <v>3</v>
      </c>
      <c r="D746" s="1" t="s">
        <v>13</v>
      </c>
      <c r="E746" s="1" t="s">
        <v>23</v>
      </c>
      <c r="F746" s="3">
        <v>0</v>
      </c>
      <c r="G746" s="1" t="s">
        <v>28</v>
      </c>
      <c r="H746" s="1" t="s">
        <v>25</v>
      </c>
      <c r="I746" s="1" t="s">
        <v>26</v>
      </c>
      <c r="J746" s="7">
        <v>49</v>
      </c>
      <c r="K746" s="7">
        <v>56.01</v>
      </c>
      <c r="L746" s="8">
        <v>147</v>
      </c>
      <c r="M746" s="8">
        <v>168.03</v>
      </c>
      <c r="N746">
        <v>20</v>
      </c>
      <c r="O746" t="s">
        <v>127</v>
      </c>
      <c r="P746" t="s">
        <v>121</v>
      </c>
    </row>
    <row r="747" spans="1:16" x14ac:dyDescent="0.25">
      <c r="A747" s="10">
        <v>45495</v>
      </c>
      <c r="B747" s="1" t="s">
        <v>70</v>
      </c>
      <c r="C747" s="2">
        <v>10</v>
      </c>
      <c r="D747" s="1" t="s">
        <v>18</v>
      </c>
      <c r="E747" s="1" t="s">
        <v>13</v>
      </c>
      <c r="F747" s="3">
        <v>0</v>
      </c>
      <c r="G747" s="1" t="s">
        <v>71</v>
      </c>
      <c r="H747" s="1" t="s">
        <v>43</v>
      </c>
      <c r="I747" s="1" t="s">
        <v>21</v>
      </c>
      <c r="J747" s="7">
        <v>55</v>
      </c>
      <c r="K747" s="7">
        <v>61.73</v>
      </c>
      <c r="L747" s="8">
        <v>550</v>
      </c>
      <c r="M747" s="8">
        <v>617.29999999999995</v>
      </c>
      <c r="N747">
        <v>22</v>
      </c>
      <c r="O747" t="s">
        <v>127</v>
      </c>
      <c r="P747" t="s">
        <v>121</v>
      </c>
    </row>
    <row r="748" spans="1:16" x14ac:dyDescent="0.25">
      <c r="A748" s="10">
        <v>45496</v>
      </c>
      <c r="B748" s="1" t="s">
        <v>84</v>
      </c>
      <c r="C748" s="2">
        <v>12</v>
      </c>
      <c r="D748" s="1" t="s">
        <v>13</v>
      </c>
      <c r="E748" s="1" t="s">
        <v>23</v>
      </c>
      <c r="F748" s="3">
        <v>0</v>
      </c>
      <c r="G748" s="1" t="s">
        <v>85</v>
      </c>
      <c r="H748" s="1" t="s">
        <v>33</v>
      </c>
      <c r="I748" s="1" t="s">
        <v>38</v>
      </c>
      <c r="J748" s="7">
        <v>126</v>
      </c>
      <c r="K748" s="7">
        <v>136.33000000000001</v>
      </c>
      <c r="L748" s="8">
        <v>1512</v>
      </c>
      <c r="M748" s="8">
        <v>1635.96</v>
      </c>
      <c r="N748">
        <v>23</v>
      </c>
      <c r="O748" t="s">
        <v>127</v>
      </c>
      <c r="P748" t="s">
        <v>121</v>
      </c>
    </row>
    <row r="749" spans="1:16" x14ac:dyDescent="0.25">
      <c r="A749" s="10">
        <v>45497</v>
      </c>
      <c r="B749" s="1" t="s">
        <v>78</v>
      </c>
      <c r="C749" s="2">
        <v>6</v>
      </c>
      <c r="D749" s="1" t="s">
        <v>18</v>
      </c>
      <c r="E749" s="1" t="s">
        <v>13</v>
      </c>
      <c r="F749" s="3">
        <v>0</v>
      </c>
      <c r="G749" s="1" t="s">
        <v>79</v>
      </c>
      <c r="H749" s="1" t="s">
        <v>33</v>
      </c>
      <c r="I749" s="1" t="s">
        <v>21</v>
      </c>
      <c r="J749" s="7">
        <v>43</v>
      </c>
      <c r="K749" s="7">
        <v>47.25</v>
      </c>
      <c r="L749" s="8">
        <v>258</v>
      </c>
      <c r="M749" s="8">
        <v>283.5</v>
      </c>
      <c r="N749">
        <v>24</v>
      </c>
      <c r="O749" t="s">
        <v>127</v>
      </c>
      <c r="P749" t="s">
        <v>121</v>
      </c>
    </row>
    <row r="750" spans="1:16" x14ac:dyDescent="0.25">
      <c r="A750" s="10">
        <v>45498</v>
      </c>
      <c r="B750" s="1" t="s">
        <v>82</v>
      </c>
      <c r="C750" s="2">
        <v>5</v>
      </c>
      <c r="D750" s="1" t="s">
        <v>18</v>
      </c>
      <c r="E750" s="1" t="s">
        <v>13</v>
      </c>
      <c r="F750" s="3">
        <v>0</v>
      </c>
      <c r="G750" s="1" t="s">
        <v>83</v>
      </c>
      <c r="H750" s="1" t="s">
        <v>33</v>
      </c>
      <c r="I750" s="1" t="s">
        <v>16</v>
      </c>
      <c r="J750" s="7">
        <v>12</v>
      </c>
      <c r="K750" s="7">
        <v>14.04</v>
      </c>
      <c r="L750" s="8">
        <v>60</v>
      </c>
      <c r="M750" s="8">
        <v>70.199999999999989</v>
      </c>
      <c r="N750">
        <v>25</v>
      </c>
      <c r="O750" t="s">
        <v>127</v>
      </c>
      <c r="P750" t="s">
        <v>121</v>
      </c>
    </row>
    <row r="751" spans="1:16" x14ac:dyDescent="0.25">
      <c r="A751" s="10">
        <v>45503</v>
      </c>
      <c r="B751" s="1" t="s">
        <v>46</v>
      </c>
      <c r="C751" s="2">
        <v>3</v>
      </c>
      <c r="D751" s="1" t="s">
        <v>18</v>
      </c>
      <c r="E751" s="1" t="s">
        <v>23</v>
      </c>
      <c r="F751" s="3">
        <v>0.02</v>
      </c>
      <c r="G751" s="1" t="s">
        <v>47</v>
      </c>
      <c r="H751" s="1" t="s">
        <v>15</v>
      </c>
      <c r="I751" s="1" t="s">
        <v>16</v>
      </c>
      <c r="J751" s="7">
        <v>8</v>
      </c>
      <c r="K751" s="7">
        <v>9.1999999999999993</v>
      </c>
      <c r="L751" s="8">
        <v>24</v>
      </c>
      <c r="M751" s="8">
        <v>27.599999999999998</v>
      </c>
      <c r="N751">
        <v>30</v>
      </c>
      <c r="O751" t="s">
        <v>127</v>
      </c>
      <c r="P751" t="s">
        <v>121</v>
      </c>
    </row>
    <row r="752" spans="1:16" x14ac:dyDescent="0.25">
      <c r="A752" s="10">
        <v>45503</v>
      </c>
      <c r="B752" s="1" t="s">
        <v>58</v>
      </c>
      <c r="C752" s="2">
        <v>6</v>
      </c>
      <c r="D752" s="1" t="s">
        <v>18</v>
      </c>
      <c r="E752" s="1" t="s">
        <v>13</v>
      </c>
      <c r="F752" s="3">
        <v>0</v>
      </c>
      <c r="G752" s="1" t="s">
        <v>59</v>
      </c>
      <c r="H752" s="1" t="s">
        <v>43</v>
      </c>
      <c r="I752" s="1" t="s">
        <v>26</v>
      </c>
      <c r="J752" s="7">
        <v>104</v>
      </c>
      <c r="K752" s="7">
        <v>115.67</v>
      </c>
      <c r="L752" s="8">
        <v>624</v>
      </c>
      <c r="M752" s="8">
        <v>694.02</v>
      </c>
      <c r="N752">
        <v>30</v>
      </c>
      <c r="O752" t="s">
        <v>127</v>
      </c>
      <c r="P752" t="s">
        <v>121</v>
      </c>
    </row>
    <row r="753" spans="1:16" x14ac:dyDescent="0.25">
      <c r="A753" s="10">
        <v>45505</v>
      </c>
      <c r="B753" s="1" t="s">
        <v>17</v>
      </c>
      <c r="C753" s="2">
        <v>4</v>
      </c>
      <c r="D753" s="1" t="s">
        <v>13</v>
      </c>
      <c r="E753" s="1" t="s">
        <v>13</v>
      </c>
      <c r="F753" s="3">
        <v>0</v>
      </c>
      <c r="G753" s="1" t="s">
        <v>19</v>
      </c>
      <c r="H753" s="1" t="s">
        <v>20</v>
      </c>
      <c r="I753" s="1" t="s">
        <v>21</v>
      </c>
      <c r="J753" s="7">
        <v>52</v>
      </c>
      <c r="K753" s="7">
        <v>59.18</v>
      </c>
      <c r="L753" s="8">
        <v>208</v>
      </c>
      <c r="M753" s="8">
        <v>236.72</v>
      </c>
      <c r="N753">
        <v>1</v>
      </c>
      <c r="O753" t="s">
        <v>128</v>
      </c>
      <c r="P753" t="s">
        <v>121</v>
      </c>
    </row>
    <row r="754" spans="1:16" x14ac:dyDescent="0.25">
      <c r="A754" s="10">
        <v>45508</v>
      </c>
      <c r="B754" s="1" t="s">
        <v>70</v>
      </c>
      <c r="C754" s="2">
        <v>11</v>
      </c>
      <c r="D754" s="1" t="s">
        <v>13</v>
      </c>
      <c r="E754" s="1" t="s">
        <v>13</v>
      </c>
      <c r="F754" s="3">
        <v>0</v>
      </c>
      <c r="G754" s="1" t="s">
        <v>71</v>
      </c>
      <c r="H754" s="1" t="s">
        <v>43</v>
      </c>
      <c r="I754" s="1" t="s">
        <v>21</v>
      </c>
      <c r="J754" s="7">
        <v>56</v>
      </c>
      <c r="K754" s="7">
        <v>63.01</v>
      </c>
      <c r="L754" s="8">
        <v>616</v>
      </c>
      <c r="M754" s="8">
        <v>693.11</v>
      </c>
      <c r="N754">
        <v>4</v>
      </c>
      <c r="O754" t="s">
        <v>128</v>
      </c>
      <c r="P754" t="s">
        <v>121</v>
      </c>
    </row>
    <row r="755" spans="1:16" x14ac:dyDescent="0.25">
      <c r="A755" s="10">
        <v>45508</v>
      </c>
      <c r="B755" s="1" t="s">
        <v>17</v>
      </c>
      <c r="C755" s="2">
        <v>2</v>
      </c>
      <c r="D755" s="1" t="s">
        <v>13</v>
      </c>
      <c r="E755" s="1" t="s">
        <v>23</v>
      </c>
      <c r="F755" s="3">
        <v>0</v>
      </c>
      <c r="G755" s="1" t="s">
        <v>19</v>
      </c>
      <c r="H755" s="1" t="s">
        <v>20</v>
      </c>
      <c r="I755" s="1" t="s">
        <v>21</v>
      </c>
      <c r="J755" s="7">
        <v>50</v>
      </c>
      <c r="K755" s="7">
        <v>58.17</v>
      </c>
      <c r="L755" s="8">
        <v>100</v>
      </c>
      <c r="M755" s="8">
        <v>116.34</v>
      </c>
      <c r="N755">
        <v>4</v>
      </c>
      <c r="O755" t="s">
        <v>128</v>
      </c>
      <c r="P755" t="s">
        <v>121</v>
      </c>
    </row>
    <row r="756" spans="1:16" x14ac:dyDescent="0.25">
      <c r="A756" s="10">
        <v>45509</v>
      </c>
      <c r="B756" s="1" t="s">
        <v>112</v>
      </c>
      <c r="C756" s="2">
        <v>1</v>
      </c>
      <c r="D756" s="1" t="s">
        <v>13</v>
      </c>
      <c r="E756" s="1" t="s">
        <v>23</v>
      </c>
      <c r="F756" s="3">
        <v>0</v>
      </c>
      <c r="G756" s="1" t="s">
        <v>113</v>
      </c>
      <c r="H756" s="1" t="s">
        <v>20</v>
      </c>
      <c r="I756" s="1" t="s">
        <v>16</v>
      </c>
      <c r="J756" s="7">
        <v>10</v>
      </c>
      <c r="K756" s="7">
        <v>10.86</v>
      </c>
      <c r="L756" s="8">
        <v>10</v>
      </c>
      <c r="M756" s="8">
        <v>10.86</v>
      </c>
      <c r="N756">
        <v>5</v>
      </c>
      <c r="O756" t="s">
        <v>128</v>
      </c>
      <c r="P756" t="s">
        <v>121</v>
      </c>
    </row>
    <row r="757" spans="1:16" x14ac:dyDescent="0.25">
      <c r="A757" s="10">
        <v>45509</v>
      </c>
      <c r="B757" s="1" t="s">
        <v>80</v>
      </c>
      <c r="C757" s="2">
        <v>11</v>
      </c>
      <c r="D757" s="1" t="s">
        <v>13</v>
      </c>
      <c r="E757" s="1" t="s">
        <v>23</v>
      </c>
      <c r="F757" s="3">
        <v>0</v>
      </c>
      <c r="G757" s="1" t="s">
        <v>81</v>
      </c>
      <c r="H757" s="1" t="s">
        <v>20</v>
      </c>
      <c r="I757" s="1" t="s">
        <v>26</v>
      </c>
      <c r="J757" s="7">
        <v>101</v>
      </c>
      <c r="K757" s="7">
        <v>115.76</v>
      </c>
      <c r="L757" s="8">
        <v>1111</v>
      </c>
      <c r="M757" s="8">
        <v>1273.3600000000001</v>
      </c>
      <c r="N757">
        <v>5</v>
      </c>
      <c r="O757" t="s">
        <v>128</v>
      </c>
      <c r="P757" t="s">
        <v>121</v>
      </c>
    </row>
    <row r="758" spans="1:16" x14ac:dyDescent="0.25">
      <c r="A758" s="10">
        <v>45509</v>
      </c>
      <c r="B758" s="1" t="s">
        <v>46</v>
      </c>
      <c r="C758" s="2">
        <v>12</v>
      </c>
      <c r="D758" s="1" t="s">
        <v>13</v>
      </c>
      <c r="E758" s="1" t="s">
        <v>13</v>
      </c>
      <c r="F758" s="3">
        <v>0</v>
      </c>
      <c r="G758" s="1" t="s">
        <v>47</v>
      </c>
      <c r="H758" s="1" t="s">
        <v>15</v>
      </c>
      <c r="I758" s="1" t="s">
        <v>16</v>
      </c>
      <c r="J758" s="7">
        <v>8</v>
      </c>
      <c r="K758" s="7">
        <v>8.89</v>
      </c>
      <c r="L758" s="8">
        <v>96</v>
      </c>
      <c r="M758" s="8">
        <v>106.68</v>
      </c>
      <c r="N758">
        <v>5</v>
      </c>
      <c r="O758" t="s">
        <v>128</v>
      </c>
      <c r="P758" t="s">
        <v>121</v>
      </c>
    </row>
    <row r="759" spans="1:16" x14ac:dyDescent="0.25">
      <c r="A759" s="10">
        <v>45511</v>
      </c>
      <c r="B759" s="1" t="s">
        <v>80</v>
      </c>
      <c r="C759" s="2">
        <v>5</v>
      </c>
      <c r="D759" s="1" t="s">
        <v>18</v>
      </c>
      <c r="E759" s="1" t="s">
        <v>13</v>
      </c>
      <c r="F759" s="3">
        <v>0</v>
      </c>
      <c r="G759" s="1" t="s">
        <v>81</v>
      </c>
      <c r="H759" s="1" t="s">
        <v>20</v>
      </c>
      <c r="I759" s="1" t="s">
        <v>26</v>
      </c>
      <c r="J759" s="7">
        <v>97</v>
      </c>
      <c r="K759" s="7">
        <v>106.61</v>
      </c>
      <c r="L759" s="8">
        <v>485</v>
      </c>
      <c r="M759" s="8">
        <v>533.04999999999995</v>
      </c>
      <c r="N759">
        <v>7</v>
      </c>
      <c r="O759" t="s">
        <v>128</v>
      </c>
      <c r="P759" t="s">
        <v>121</v>
      </c>
    </row>
    <row r="760" spans="1:16" x14ac:dyDescent="0.25">
      <c r="A760" s="10">
        <v>45512</v>
      </c>
      <c r="B760" s="1" t="s">
        <v>90</v>
      </c>
      <c r="C760" s="2">
        <v>1</v>
      </c>
      <c r="D760" s="1" t="s">
        <v>18</v>
      </c>
      <c r="E760" s="1" t="s">
        <v>23</v>
      </c>
      <c r="F760" s="3">
        <v>0</v>
      </c>
      <c r="G760" s="1" t="s">
        <v>91</v>
      </c>
      <c r="H760" s="1" t="s">
        <v>20</v>
      </c>
      <c r="I760" s="1" t="s">
        <v>26</v>
      </c>
      <c r="J760" s="7">
        <v>92</v>
      </c>
      <c r="K760" s="7">
        <v>101.31</v>
      </c>
      <c r="L760" s="8">
        <v>92</v>
      </c>
      <c r="M760" s="8">
        <v>101.31</v>
      </c>
      <c r="N760">
        <v>8</v>
      </c>
      <c r="O760" t="s">
        <v>128</v>
      </c>
      <c r="P760" t="s">
        <v>121</v>
      </c>
    </row>
    <row r="761" spans="1:16" x14ac:dyDescent="0.25">
      <c r="A761" s="10">
        <v>45512</v>
      </c>
      <c r="B761" s="1" t="s">
        <v>112</v>
      </c>
      <c r="C761" s="2">
        <v>1</v>
      </c>
      <c r="D761" s="1" t="s">
        <v>13</v>
      </c>
      <c r="E761" s="1" t="s">
        <v>23</v>
      </c>
      <c r="F761" s="3">
        <v>0</v>
      </c>
      <c r="G761" s="1" t="s">
        <v>113</v>
      </c>
      <c r="H761" s="1" t="s">
        <v>20</v>
      </c>
      <c r="I761" s="1" t="s">
        <v>16</v>
      </c>
      <c r="J761" s="7">
        <v>10</v>
      </c>
      <c r="K761" s="7">
        <v>11.68</v>
      </c>
      <c r="L761" s="8">
        <v>10</v>
      </c>
      <c r="M761" s="8">
        <v>11.68</v>
      </c>
      <c r="N761">
        <v>8</v>
      </c>
      <c r="O761" t="s">
        <v>128</v>
      </c>
      <c r="P761" t="s">
        <v>121</v>
      </c>
    </row>
    <row r="762" spans="1:16" x14ac:dyDescent="0.25">
      <c r="A762" s="10">
        <v>45512</v>
      </c>
      <c r="B762" s="1" t="s">
        <v>78</v>
      </c>
      <c r="C762" s="2">
        <v>8</v>
      </c>
      <c r="D762" s="1" t="s">
        <v>13</v>
      </c>
      <c r="E762" s="1" t="s">
        <v>13</v>
      </c>
      <c r="F762" s="3">
        <v>0</v>
      </c>
      <c r="G762" s="1" t="s">
        <v>79</v>
      </c>
      <c r="H762" s="1" t="s">
        <v>33</v>
      </c>
      <c r="I762" s="1" t="s">
        <v>21</v>
      </c>
      <c r="J762" s="7">
        <v>44</v>
      </c>
      <c r="K762" s="7">
        <v>50.77</v>
      </c>
      <c r="L762" s="8">
        <v>352</v>
      </c>
      <c r="M762" s="8">
        <v>406.16</v>
      </c>
      <c r="N762">
        <v>8</v>
      </c>
      <c r="O762" t="s">
        <v>128</v>
      </c>
      <c r="P762" t="s">
        <v>121</v>
      </c>
    </row>
    <row r="763" spans="1:16" x14ac:dyDescent="0.25">
      <c r="A763" s="10">
        <v>45513</v>
      </c>
      <c r="B763" s="1" t="s">
        <v>17</v>
      </c>
      <c r="C763" s="2">
        <v>1</v>
      </c>
      <c r="D763" s="1" t="s">
        <v>12</v>
      </c>
      <c r="E763" s="1" t="s">
        <v>13</v>
      </c>
      <c r="F763" s="3">
        <v>0.02</v>
      </c>
      <c r="G763" s="1" t="s">
        <v>19</v>
      </c>
      <c r="H763" s="1" t="s">
        <v>20</v>
      </c>
      <c r="I763" s="1" t="s">
        <v>21</v>
      </c>
      <c r="J763" s="7">
        <v>52</v>
      </c>
      <c r="K763" s="7">
        <v>57.98</v>
      </c>
      <c r="L763" s="8">
        <v>52</v>
      </c>
      <c r="M763" s="8">
        <v>57.98</v>
      </c>
      <c r="N763">
        <v>9</v>
      </c>
      <c r="O763" t="s">
        <v>128</v>
      </c>
      <c r="P763" t="s">
        <v>121</v>
      </c>
    </row>
    <row r="764" spans="1:16" x14ac:dyDescent="0.25">
      <c r="A764" s="10">
        <v>45514</v>
      </c>
      <c r="B764" s="1" t="s">
        <v>56</v>
      </c>
      <c r="C764" s="2">
        <v>2</v>
      </c>
      <c r="D764" s="1" t="s">
        <v>18</v>
      </c>
      <c r="E764" s="1" t="s">
        <v>13</v>
      </c>
      <c r="F764" s="3">
        <v>0</v>
      </c>
      <c r="G764" s="1" t="s">
        <v>57</v>
      </c>
      <c r="H764" s="1" t="s">
        <v>20</v>
      </c>
      <c r="I764" s="1" t="s">
        <v>26</v>
      </c>
      <c r="J764" s="7">
        <v>86</v>
      </c>
      <c r="K764" s="7">
        <v>97.36</v>
      </c>
      <c r="L764" s="8">
        <v>172</v>
      </c>
      <c r="M764" s="8">
        <v>194.72</v>
      </c>
      <c r="N764">
        <v>10</v>
      </c>
      <c r="O764" t="s">
        <v>128</v>
      </c>
      <c r="P764" t="s">
        <v>121</v>
      </c>
    </row>
    <row r="765" spans="1:16" x14ac:dyDescent="0.25">
      <c r="A765" s="10">
        <v>45514</v>
      </c>
      <c r="B765" s="1" t="s">
        <v>31</v>
      </c>
      <c r="C765" s="2">
        <v>5</v>
      </c>
      <c r="D765" s="1" t="s">
        <v>12</v>
      </c>
      <c r="E765" s="1" t="s">
        <v>23</v>
      </c>
      <c r="F765" s="3">
        <v>0</v>
      </c>
      <c r="G765" s="1" t="s">
        <v>32</v>
      </c>
      <c r="H765" s="1" t="s">
        <v>33</v>
      </c>
      <c r="I765" s="1" t="s">
        <v>21</v>
      </c>
      <c r="J765" s="7">
        <v>67</v>
      </c>
      <c r="K765" s="7">
        <v>76.58</v>
      </c>
      <c r="L765" s="8">
        <v>335</v>
      </c>
      <c r="M765" s="8">
        <v>382.9</v>
      </c>
      <c r="N765">
        <v>10</v>
      </c>
      <c r="O765" t="s">
        <v>128</v>
      </c>
      <c r="P765" t="s">
        <v>121</v>
      </c>
    </row>
    <row r="766" spans="1:16" x14ac:dyDescent="0.25">
      <c r="A766" s="10">
        <v>45517</v>
      </c>
      <c r="B766" s="1" t="s">
        <v>78</v>
      </c>
      <c r="C766" s="2">
        <v>12</v>
      </c>
      <c r="D766" s="1" t="s">
        <v>12</v>
      </c>
      <c r="E766" s="1" t="s">
        <v>23</v>
      </c>
      <c r="F766" s="3">
        <v>0</v>
      </c>
      <c r="G766" s="1" t="s">
        <v>79</v>
      </c>
      <c r="H766" s="1" t="s">
        <v>33</v>
      </c>
      <c r="I766" s="1" t="s">
        <v>21</v>
      </c>
      <c r="J766" s="7">
        <v>44</v>
      </c>
      <c r="K766" s="7">
        <v>50.62</v>
      </c>
      <c r="L766" s="8">
        <v>528</v>
      </c>
      <c r="M766" s="8">
        <v>607.43999999999994</v>
      </c>
      <c r="N766">
        <v>13</v>
      </c>
      <c r="O766" t="s">
        <v>128</v>
      </c>
      <c r="P766" t="s">
        <v>121</v>
      </c>
    </row>
    <row r="767" spans="1:16" x14ac:dyDescent="0.25">
      <c r="A767" s="10">
        <v>45517</v>
      </c>
      <c r="B767" s="1" t="s">
        <v>27</v>
      </c>
      <c r="C767" s="2">
        <v>7</v>
      </c>
      <c r="D767" s="1" t="s">
        <v>13</v>
      </c>
      <c r="E767" s="1" t="s">
        <v>23</v>
      </c>
      <c r="F767" s="3">
        <v>0</v>
      </c>
      <c r="G767" s="1" t="s">
        <v>28</v>
      </c>
      <c r="H767" s="1" t="s">
        <v>25</v>
      </c>
      <c r="I767" s="1" t="s">
        <v>26</v>
      </c>
      <c r="J767" s="7">
        <v>49</v>
      </c>
      <c r="K767" s="7">
        <v>54.92</v>
      </c>
      <c r="L767" s="8">
        <v>343</v>
      </c>
      <c r="M767" s="8">
        <v>384.44</v>
      </c>
      <c r="N767">
        <v>13</v>
      </c>
      <c r="O767" t="s">
        <v>128</v>
      </c>
      <c r="P767" t="s">
        <v>121</v>
      </c>
    </row>
    <row r="768" spans="1:16" x14ac:dyDescent="0.25">
      <c r="A768" s="10">
        <v>45518</v>
      </c>
      <c r="B768" s="1" t="s">
        <v>86</v>
      </c>
      <c r="C768" s="2">
        <v>14</v>
      </c>
      <c r="D768" s="1" t="s">
        <v>13</v>
      </c>
      <c r="E768" s="1" t="s">
        <v>13</v>
      </c>
      <c r="F768" s="3">
        <v>0</v>
      </c>
      <c r="G768" s="1" t="s">
        <v>87</v>
      </c>
      <c r="H768" s="1" t="s">
        <v>20</v>
      </c>
      <c r="I768" s="1" t="s">
        <v>21</v>
      </c>
      <c r="J768" s="7">
        <v>57</v>
      </c>
      <c r="K768" s="7">
        <v>62.51</v>
      </c>
      <c r="L768" s="8">
        <v>798</v>
      </c>
      <c r="M768" s="8">
        <v>875.14</v>
      </c>
      <c r="N768">
        <v>14</v>
      </c>
      <c r="O768" t="s">
        <v>128</v>
      </c>
      <c r="P768" t="s">
        <v>121</v>
      </c>
    </row>
    <row r="769" spans="1:16" x14ac:dyDescent="0.25">
      <c r="A769" s="10">
        <v>45518</v>
      </c>
      <c r="B769" s="1" t="s">
        <v>44</v>
      </c>
      <c r="C769" s="2">
        <v>1</v>
      </c>
      <c r="D769" s="1" t="s">
        <v>13</v>
      </c>
      <c r="E769" s="1" t="s">
        <v>23</v>
      </c>
      <c r="F769" s="3">
        <v>0</v>
      </c>
      <c r="G769" s="1" t="s">
        <v>45</v>
      </c>
      <c r="H769" s="1" t="s">
        <v>15</v>
      </c>
      <c r="I769" s="1" t="s">
        <v>38</v>
      </c>
      <c r="J769" s="7">
        <v>119</v>
      </c>
      <c r="K769" s="7">
        <v>135.41</v>
      </c>
      <c r="L769" s="8">
        <v>119</v>
      </c>
      <c r="M769" s="8">
        <v>135.41</v>
      </c>
      <c r="N769">
        <v>14</v>
      </c>
      <c r="O769" t="s">
        <v>128</v>
      </c>
      <c r="P769" t="s">
        <v>121</v>
      </c>
    </row>
    <row r="770" spans="1:16" x14ac:dyDescent="0.25">
      <c r="A770" s="10">
        <v>45519</v>
      </c>
      <c r="B770" s="1" t="s">
        <v>78</v>
      </c>
      <c r="C770" s="2">
        <v>14</v>
      </c>
      <c r="D770" s="1" t="s">
        <v>18</v>
      </c>
      <c r="E770" s="1" t="s">
        <v>13</v>
      </c>
      <c r="F770" s="3">
        <v>0</v>
      </c>
      <c r="G770" s="1" t="s">
        <v>79</v>
      </c>
      <c r="H770" s="1" t="s">
        <v>33</v>
      </c>
      <c r="I770" s="1" t="s">
        <v>21</v>
      </c>
      <c r="J770" s="7">
        <v>44</v>
      </c>
      <c r="K770" s="7">
        <v>51.88</v>
      </c>
      <c r="L770" s="8">
        <v>616</v>
      </c>
      <c r="M770" s="8">
        <v>726.32</v>
      </c>
      <c r="N770">
        <v>15</v>
      </c>
      <c r="O770" t="s">
        <v>128</v>
      </c>
      <c r="P770" t="s">
        <v>121</v>
      </c>
    </row>
    <row r="771" spans="1:16" x14ac:dyDescent="0.25">
      <c r="A771" s="10">
        <v>45519</v>
      </c>
      <c r="B771" s="1" t="s">
        <v>48</v>
      </c>
      <c r="C771" s="2">
        <v>9</v>
      </c>
      <c r="D771" s="1" t="s">
        <v>13</v>
      </c>
      <c r="E771" s="1" t="s">
        <v>13</v>
      </c>
      <c r="F771" s="3">
        <v>0</v>
      </c>
      <c r="G771" s="1" t="s">
        <v>49</v>
      </c>
      <c r="H771" s="1" t="s">
        <v>15</v>
      </c>
      <c r="I771" s="1" t="s">
        <v>26</v>
      </c>
      <c r="J771" s="7">
        <v>70</v>
      </c>
      <c r="K771" s="7">
        <v>76.58</v>
      </c>
      <c r="L771" s="8">
        <v>630</v>
      </c>
      <c r="M771" s="8">
        <v>689.22</v>
      </c>
      <c r="N771">
        <v>15</v>
      </c>
      <c r="O771" t="s">
        <v>128</v>
      </c>
      <c r="P771" t="s">
        <v>121</v>
      </c>
    </row>
    <row r="772" spans="1:16" x14ac:dyDescent="0.25">
      <c r="A772" s="10">
        <v>45520</v>
      </c>
      <c r="B772" s="1" t="s">
        <v>11</v>
      </c>
      <c r="C772" s="2">
        <v>3</v>
      </c>
      <c r="D772" s="1" t="s">
        <v>12</v>
      </c>
      <c r="E772" s="1" t="s">
        <v>23</v>
      </c>
      <c r="F772" s="3">
        <v>0</v>
      </c>
      <c r="G772" s="1" t="s">
        <v>14</v>
      </c>
      <c r="H772" s="1" t="s">
        <v>15</v>
      </c>
      <c r="I772" s="1" t="s">
        <v>16</v>
      </c>
      <c r="J772" s="7">
        <v>7</v>
      </c>
      <c r="K772" s="7">
        <v>7.68</v>
      </c>
      <c r="L772" s="8">
        <v>21</v>
      </c>
      <c r="M772" s="8">
        <v>23.04</v>
      </c>
      <c r="N772">
        <v>16</v>
      </c>
      <c r="O772" t="s">
        <v>128</v>
      </c>
      <c r="P772" t="s">
        <v>121</v>
      </c>
    </row>
    <row r="773" spans="1:16" x14ac:dyDescent="0.25">
      <c r="A773" s="10">
        <v>45520</v>
      </c>
      <c r="B773" s="1" t="s">
        <v>70</v>
      </c>
      <c r="C773" s="2">
        <v>12</v>
      </c>
      <c r="D773" s="1" t="s">
        <v>12</v>
      </c>
      <c r="E773" s="1" t="s">
        <v>23</v>
      </c>
      <c r="F773" s="3">
        <v>0.08</v>
      </c>
      <c r="G773" s="1" t="s">
        <v>71</v>
      </c>
      <c r="H773" s="1" t="s">
        <v>43</v>
      </c>
      <c r="I773" s="1" t="s">
        <v>21</v>
      </c>
      <c r="J773" s="7">
        <v>55</v>
      </c>
      <c r="K773" s="7">
        <v>55.67</v>
      </c>
      <c r="L773" s="8">
        <v>660</v>
      </c>
      <c r="M773" s="8">
        <v>668.04</v>
      </c>
      <c r="N773">
        <v>16</v>
      </c>
      <c r="O773" t="s">
        <v>128</v>
      </c>
      <c r="P773" t="s">
        <v>121</v>
      </c>
    </row>
    <row r="774" spans="1:16" x14ac:dyDescent="0.25">
      <c r="A774" s="10">
        <v>45520</v>
      </c>
      <c r="B774" s="1" t="s">
        <v>96</v>
      </c>
      <c r="C774" s="2">
        <v>11</v>
      </c>
      <c r="D774" s="1" t="s">
        <v>13</v>
      </c>
      <c r="E774" s="1" t="s">
        <v>13</v>
      </c>
      <c r="F774" s="3">
        <v>0</v>
      </c>
      <c r="G774" s="1" t="s">
        <v>97</v>
      </c>
      <c r="H774" s="1" t="s">
        <v>20</v>
      </c>
      <c r="I774" s="1" t="s">
        <v>21</v>
      </c>
      <c r="J774" s="7">
        <v>59</v>
      </c>
      <c r="K774" s="7">
        <v>69.069999999999993</v>
      </c>
      <c r="L774" s="8">
        <v>649</v>
      </c>
      <c r="M774" s="8">
        <v>759.77</v>
      </c>
      <c r="N774">
        <v>16</v>
      </c>
      <c r="O774" t="s">
        <v>128</v>
      </c>
      <c r="P774" t="s">
        <v>121</v>
      </c>
    </row>
    <row r="775" spans="1:16" x14ac:dyDescent="0.25">
      <c r="A775" s="10">
        <v>45522</v>
      </c>
      <c r="B775" s="1" t="s">
        <v>34</v>
      </c>
      <c r="C775" s="2">
        <v>14</v>
      </c>
      <c r="D775" s="1" t="s">
        <v>13</v>
      </c>
      <c r="E775" s="1" t="s">
        <v>13</v>
      </c>
      <c r="F775" s="3">
        <v>0</v>
      </c>
      <c r="G775" s="1" t="s">
        <v>35</v>
      </c>
      <c r="H775" s="1" t="s">
        <v>20</v>
      </c>
      <c r="I775" s="1" t="s">
        <v>16</v>
      </c>
      <c r="J775" s="7">
        <v>5</v>
      </c>
      <c r="K775" s="7">
        <v>5.71</v>
      </c>
      <c r="L775" s="8">
        <v>70</v>
      </c>
      <c r="M775" s="8">
        <v>79.94</v>
      </c>
      <c r="N775">
        <v>18</v>
      </c>
      <c r="O775" t="s">
        <v>128</v>
      </c>
      <c r="P775" t="s">
        <v>121</v>
      </c>
    </row>
    <row r="776" spans="1:16" x14ac:dyDescent="0.25">
      <c r="A776" s="10">
        <v>45524</v>
      </c>
      <c r="B776" s="1" t="s">
        <v>76</v>
      </c>
      <c r="C776" s="2">
        <v>14</v>
      </c>
      <c r="D776" s="1" t="s">
        <v>12</v>
      </c>
      <c r="E776" s="1" t="s">
        <v>13</v>
      </c>
      <c r="F776" s="3">
        <v>0.02</v>
      </c>
      <c r="G776" s="1" t="s">
        <v>77</v>
      </c>
      <c r="H776" s="1" t="s">
        <v>25</v>
      </c>
      <c r="I776" s="1" t="s">
        <v>26</v>
      </c>
      <c r="J776" s="7">
        <v>111</v>
      </c>
      <c r="K776" s="7">
        <v>127</v>
      </c>
      <c r="L776" s="8">
        <v>1554</v>
      </c>
      <c r="M776" s="8">
        <v>1778</v>
      </c>
      <c r="N776">
        <v>20</v>
      </c>
      <c r="O776" t="s">
        <v>128</v>
      </c>
      <c r="P776" t="s">
        <v>121</v>
      </c>
    </row>
    <row r="777" spans="1:16" x14ac:dyDescent="0.25">
      <c r="A777" s="10">
        <v>45524</v>
      </c>
      <c r="B777" s="1" t="s">
        <v>54</v>
      </c>
      <c r="C777" s="2">
        <v>4</v>
      </c>
      <c r="D777" s="1" t="s">
        <v>13</v>
      </c>
      <c r="E777" s="1" t="s">
        <v>23</v>
      </c>
      <c r="F777" s="3">
        <v>0</v>
      </c>
      <c r="G777" s="1" t="s">
        <v>55</v>
      </c>
      <c r="H777" s="1" t="s">
        <v>43</v>
      </c>
      <c r="I777" s="1" t="s">
        <v>26</v>
      </c>
      <c r="J777" s="7">
        <v>78</v>
      </c>
      <c r="K777" s="7">
        <v>89.48</v>
      </c>
      <c r="L777" s="8">
        <v>312</v>
      </c>
      <c r="M777" s="8">
        <v>357.92</v>
      </c>
      <c r="N777">
        <v>20</v>
      </c>
      <c r="O777" t="s">
        <v>128</v>
      </c>
      <c r="P777" t="s">
        <v>121</v>
      </c>
    </row>
    <row r="778" spans="1:16" x14ac:dyDescent="0.25">
      <c r="A778" s="10">
        <v>45525</v>
      </c>
      <c r="B778" s="1" t="s">
        <v>68</v>
      </c>
      <c r="C778" s="2">
        <v>7</v>
      </c>
      <c r="D778" s="1" t="s">
        <v>13</v>
      </c>
      <c r="E778" s="1" t="s">
        <v>13</v>
      </c>
      <c r="F778" s="3">
        <v>0</v>
      </c>
      <c r="G778" s="1" t="s">
        <v>69</v>
      </c>
      <c r="H778" s="1" t="s">
        <v>15</v>
      </c>
      <c r="I778" s="1" t="s">
        <v>38</v>
      </c>
      <c r="J778" s="7">
        <v>135</v>
      </c>
      <c r="K778" s="7">
        <v>148.03</v>
      </c>
      <c r="L778" s="8">
        <v>945</v>
      </c>
      <c r="M778" s="8">
        <v>1036.21</v>
      </c>
      <c r="N778">
        <v>21</v>
      </c>
      <c r="O778" t="s">
        <v>128</v>
      </c>
      <c r="P778" t="s">
        <v>121</v>
      </c>
    </row>
    <row r="779" spans="1:16" x14ac:dyDescent="0.25">
      <c r="A779" s="10">
        <v>45526</v>
      </c>
      <c r="B779" s="1" t="s">
        <v>48</v>
      </c>
      <c r="C779" s="2">
        <v>1</v>
      </c>
      <c r="D779" s="1" t="s">
        <v>12</v>
      </c>
      <c r="E779" s="1" t="s">
        <v>13</v>
      </c>
      <c r="F779" s="3">
        <v>0.02</v>
      </c>
      <c r="G779" s="1" t="s">
        <v>49</v>
      </c>
      <c r="H779" s="1" t="s">
        <v>15</v>
      </c>
      <c r="I779" s="1" t="s">
        <v>26</v>
      </c>
      <c r="J779" s="7">
        <v>70</v>
      </c>
      <c r="K779" s="7">
        <v>75.92</v>
      </c>
      <c r="L779" s="8">
        <v>70</v>
      </c>
      <c r="M779" s="8">
        <v>75.92</v>
      </c>
      <c r="N779">
        <v>22</v>
      </c>
      <c r="O779" t="s">
        <v>128</v>
      </c>
      <c r="P779" t="s">
        <v>121</v>
      </c>
    </row>
    <row r="780" spans="1:16" x14ac:dyDescent="0.25">
      <c r="A780" s="10">
        <v>45527</v>
      </c>
      <c r="B780" s="1" t="s">
        <v>100</v>
      </c>
      <c r="C780" s="2">
        <v>2</v>
      </c>
      <c r="D780" s="1" t="s">
        <v>18</v>
      </c>
      <c r="E780" s="1" t="s">
        <v>13</v>
      </c>
      <c r="F780" s="3">
        <v>0</v>
      </c>
      <c r="G780" s="1" t="s">
        <v>101</v>
      </c>
      <c r="H780" s="1" t="s">
        <v>25</v>
      </c>
      <c r="I780" s="1" t="s">
        <v>26</v>
      </c>
      <c r="J780" s="7">
        <v>94</v>
      </c>
      <c r="K780" s="7">
        <v>102.72</v>
      </c>
      <c r="L780" s="8">
        <v>188</v>
      </c>
      <c r="M780" s="8">
        <v>205.44</v>
      </c>
      <c r="N780">
        <v>23</v>
      </c>
      <c r="O780" t="s">
        <v>128</v>
      </c>
      <c r="P780" t="s">
        <v>121</v>
      </c>
    </row>
    <row r="781" spans="1:16" x14ac:dyDescent="0.25">
      <c r="A781" s="10">
        <v>45527</v>
      </c>
      <c r="B781" s="1" t="s">
        <v>100</v>
      </c>
      <c r="C781" s="2">
        <v>7</v>
      </c>
      <c r="D781" s="1" t="s">
        <v>18</v>
      </c>
      <c r="E781" s="1" t="s">
        <v>13</v>
      </c>
      <c r="F781" s="3">
        <v>0</v>
      </c>
      <c r="G781" s="1" t="s">
        <v>101</v>
      </c>
      <c r="H781" s="1" t="s">
        <v>25</v>
      </c>
      <c r="I781" s="1" t="s">
        <v>26</v>
      </c>
      <c r="J781" s="7">
        <v>91</v>
      </c>
      <c r="K781" s="7">
        <v>105.8</v>
      </c>
      <c r="L781" s="8">
        <v>637</v>
      </c>
      <c r="M781" s="8">
        <v>740.6</v>
      </c>
      <c r="N781">
        <v>23</v>
      </c>
      <c r="O781" t="s">
        <v>128</v>
      </c>
      <c r="P781" t="s">
        <v>121</v>
      </c>
    </row>
    <row r="782" spans="1:16" x14ac:dyDescent="0.25">
      <c r="A782" s="10">
        <v>45528</v>
      </c>
      <c r="B782" s="1" t="s">
        <v>48</v>
      </c>
      <c r="C782" s="2">
        <v>9</v>
      </c>
      <c r="D782" s="1" t="s">
        <v>13</v>
      </c>
      <c r="E782" s="1" t="s">
        <v>23</v>
      </c>
      <c r="F782" s="3">
        <v>0</v>
      </c>
      <c r="G782" s="1" t="s">
        <v>49</v>
      </c>
      <c r="H782" s="1" t="s">
        <v>15</v>
      </c>
      <c r="I782" s="1" t="s">
        <v>26</v>
      </c>
      <c r="J782" s="7">
        <v>73</v>
      </c>
      <c r="K782" s="7">
        <v>79.84</v>
      </c>
      <c r="L782" s="8">
        <v>657</v>
      </c>
      <c r="M782" s="8">
        <v>718.56000000000006</v>
      </c>
      <c r="N782">
        <v>24</v>
      </c>
      <c r="O782" t="s">
        <v>128</v>
      </c>
      <c r="P782" t="s">
        <v>121</v>
      </c>
    </row>
    <row r="783" spans="1:16" x14ac:dyDescent="0.25">
      <c r="A783" s="10">
        <v>45529</v>
      </c>
      <c r="B783" s="1" t="s">
        <v>52</v>
      </c>
      <c r="C783" s="2">
        <v>11</v>
      </c>
      <c r="D783" s="1" t="s">
        <v>18</v>
      </c>
      <c r="E783" s="1" t="s">
        <v>23</v>
      </c>
      <c r="F783" s="3">
        <v>0</v>
      </c>
      <c r="G783" s="1" t="s">
        <v>53</v>
      </c>
      <c r="H783" s="1" t="s">
        <v>25</v>
      </c>
      <c r="I783" s="1" t="s">
        <v>21</v>
      </c>
      <c r="J783" s="7">
        <v>61</v>
      </c>
      <c r="K783" s="7">
        <v>70.08</v>
      </c>
      <c r="L783" s="8">
        <v>671</v>
      </c>
      <c r="M783" s="8">
        <v>770.88</v>
      </c>
      <c r="N783">
        <v>25</v>
      </c>
      <c r="O783" t="s">
        <v>128</v>
      </c>
      <c r="P783" t="s">
        <v>121</v>
      </c>
    </row>
    <row r="784" spans="1:16" x14ac:dyDescent="0.25">
      <c r="A784" s="10">
        <v>45529</v>
      </c>
      <c r="B784" s="1" t="s">
        <v>106</v>
      </c>
      <c r="C784" s="2">
        <v>6</v>
      </c>
      <c r="D784" s="1" t="s">
        <v>12</v>
      </c>
      <c r="E784" s="1" t="s">
        <v>23</v>
      </c>
      <c r="F784" s="3">
        <v>0</v>
      </c>
      <c r="G784" s="1" t="s">
        <v>107</v>
      </c>
      <c r="H784" s="1" t="s">
        <v>25</v>
      </c>
      <c r="I784" s="1" t="s">
        <v>21</v>
      </c>
      <c r="J784" s="7">
        <v>43</v>
      </c>
      <c r="K784" s="7">
        <v>49.73</v>
      </c>
      <c r="L784" s="8">
        <v>258</v>
      </c>
      <c r="M784" s="8">
        <v>298.38</v>
      </c>
      <c r="N784">
        <v>25</v>
      </c>
      <c r="O784" t="s">
        <v>128</v>
      </c>
      <c r="P784" t="s">
        <v>121</v>
      </c>
    </row>
    <row r="785" spans="1:16" x14ac:dyDescent="0.25">
      <c r="A785" s="10">
        <v>45529</v>
      </c>
      <c r="B785" s="1" t="s">
        <v>96</v>
      </c>
      <c r="C785" s="2">
        <v>1</v>
      </c>
      <c r="D785" s="1" t="s">
        <v>13</v>
      </c>
      <c r="E785" s="1" t="s">
        <v>23</v>
      </c>
      <c r="F785" s="3">
        <v>0</v>
      </c>
      <c r="G785" s="1" t="s">
        <v>97</v>
      </c>
      <c r="H785" s="1" t="s">
        <v>20</v>
      </c>
      <c r="I785" s="1" t="s">
        <v>21</v>
      </c>
      <c r="J785" s="7">
        <v>58</v>
      </c>
      <c r="K785" s="7">
        <v>66.12</v>
      </c>
      <c r="L785" s="8">
        <v>58</v>
      </c>
      <c r="M785" s="8">
        <v>66.12</v>
      </c>
      <c r="N785">
        <v>25</v>
      </c>
      <c r="O785" t="s">
        <v>128</v>
      </c>
      <c r="P785" t="s">
        <v>121</v>
      </c>
    </row>
    <row r="786" spans="1:16" x14ac:dyDescent="0.25">
      <c r="A786" s="10">
        <v>45530</v>
      </c>
      <c r="B786" s="1" t="s">
        <v>11</v>
      </c>
      <c r="C786" s="2">
        <v>1</v>
      </c>
      <c r="D786" s="1" t="s">
        <v>13</v>
      </c>
      <c r="E786" s="1" t="s">
        <v>23</v>
      </c>
      <c r="F786" s="3">
        <v>0</v>
      </c>
      <c r="G786" s="1" t="s">
        <v>14</v>
      </c>
      <c r="H786" s="1" t="s">
        <v>15</v>
      </c>
      <c r="I786" s="1" t="s">
        <v>16</v>
      </c>
      <c r="J786" s="7">
        <v>7</v>
      </c>
      <c r="K786" s="7">
        <v>8.0399999999999991</v>
      </c>
      <c r="L786" s="8">
        <v>7</v>
      </c>
      <c r="M786" s="8">
        <v>8.0399999999999991</v>
      </c>
      <c r="N786">
        <v>26</v>
      </c>
      <c r="O786" t="s">
        <v>128</v>
      </c>
      <c r="P786" t="s">
        <v>121</v>
      </c>
    </row>
    <row r="787" spans="1:16" x14ac:dyDescent="0.25">
      <c r="A787" s="10">
        <v>45530</v>
      </c>
      <c r="B787" s="1" t="s">
        <v>72</v>
      </c>
      <c r="C787" s="2">
        <v>9</v>
      </c>
      <c r="D787" s="1" t="s">
        <v>18</v>
      </c>
      <c r="E787" s="1" t="s">
        <v>23</v>
      </c>
      <c r="F787" s="3">
        <v>0</v>
      </c>
      <c r="G787" s="1" t="s">
        <v>73</v>
      </c>
      <c r="H787" s="1" t="s">
        <v>33</v>
      </c>
      <c r="I787" s="1" t="s">
        <v>26</v>
      </c>
      <c r="J787" s="7">
        <v>69</v>
      </c>
      <c r="K787" s="7">
        <v>77.680000000000007</v>
      </c>
      <c r="L787" s="8">
        <v>621</v>
      </c>
      <c r="M787" s="8">
        <v>699.12000000000012</v>
      </c>
      <c r="N787">
        <v>26</v>
      </c>
      <c r="O787" t="s">
        <v>128</v>
      </c>
      <c r="P787" t="s">
        <v>121</v>
      </c>
    </row>
    <row r="788" spans="1:16" x14ac:dyDescent="0.25">
      <c r="A788" s="10">
        <v>45530</v>
      </c>
      <c r="B788" s="1" t="s">
        <v>108</v>
      </c>
      <c r="C788" s="2">
        <v>12</v>
      </c>
      <c r="D788" s="1" t="s">
        <v>13</v>
      </c>
      <c r="E788" s="1" t="s">
        <v>13</v>
      </c>
      <c r="F788" s="3">
        <v>0</v>
      </c>
      <c r="G788" s="1" t="s">
        <v>109</v>
      </c>
      <c r="H788" s="1" t="s">
        <v>43</v>
      </c>
      <c r="I788" s="1" t="s">
        <v>26</v>
      </c>
      <c r="J788" s="7">
        <v>70</v>
      </c>
      <c r="K788" s="7">
        <v>78.12</v>
      </c>
      <c r="L788" s="8">
        <v>840</v>
      </c>
      <c r="M788" s="8">
        <v>937.44</v>
      </c>
      <c r="N788">
        <v>26</v>
      </c>
      <c r="O788" t="s">
        <v>128</v>
      </c>
      <c r="P788" t="s">
        <v>121</v>
      </c>
    </row>
    <row r="789" spans="1:16" x14ac:dyDescent="0.25">
      <c r="A789" s="10">
        <v>45531</v>
      </c>
      <c r="B789" s="1" t="s">
        <v>92</v>
      </c>
      <c r="C789" s="2">
        <v>4</v>
      </c>
      <c r="D789" s="1" t="s">
        <v>13</v>
      </c>
      <c r="E789" s="1" t="s">
        <v>13</v>
      </c>
      <c r="F789" s="3">
        <v>0.05</v>
      </c>
      <c r="G789" s="1" t="s">
        <v>93</v>
      </c>
      <c r="H789" s="1" t="s">
        <v>33</v>
      </c>
      <c r="I789" s="1" t="s">
        <v>26</v>
      </c>
      <c r="J789" s="7">
        <v>75</v>
      </c>
      <c r="K789" s="7">
        <v>80.89</v>
      </c>
      <c r="L789" s="8">
        <v>300</v>
      </c>
      <c r="M789" s="8">
        <v>323.56</v>
      </c>
      <c r="N789">
        <v>27</v>
      </c>
      <c r="O789" t="s">
        <v>128</v>
      </c>
      <c r="P789" t="s">
        <v>121</v>
      </c>
    </row>
    <row r="790" spans="1:16" x14ac:dyDescent="0.25">
      <c r="A790" s="10">
        <v>45533</v>
      </c>
      <c r="B790" s="1" t="s">
        <v>11</v>
      </c>
      <c r="C790" s="2">
        <v>6</v>
      </c>
      <c r="D790" s="1" t="s">
        <v>12</v>
      </c>
      <c r="E790" s="1" t="s">
        <v>13</v>
      </c>
      <c r="F790" s="3">
        <v>0.02</v>
      </c>
      <c r="G790" s="1" t="s">
        <v>14</v>
      </c>
      <c r="H790" s="1" t="s">
        <v>15</v>
      </c>
      <c r="I790" s="1" t="s">
        <v>16</v>
      </c>
      <c r="J790" s="7">
        <v>7</v>
      </c>
      <c r="K790" s="7">
        <v>7.67</v>
      </c>
      <c r="L790" s="8">
        <v>42</v>
      </c>
      <c r="M790" s="8">
        <v>46.019999999999996</v>
      </c>
      <c r="N790">
        <v>29</v>
      </c>
      <c r="O790" t="s">
        <v>128</v>
      </c>
      <c r="P790" t="s">
        <v>121</v>
      </c>
    </row>
    <row r="791" spans="1:16" x14ac:dyDescent="0.25">
      <c r="A791" s="10">
        <v>45533</v>
      </c>
      <c r="B791" s="1" t="s">
        <v>39</v>
      </c>
      <c r="C791" s="2">
        <v>4</v>
      </c>
      <c r="D791" s="1" t="s">
        <v>18</v>
      </c>
      <c r="E791" s="1" t="s">
        <v>23</v>
      </c>
      <c r="F791" s="3">
        <v>0</v>
      </c>
      <c r="G791" s="1" t="s">
        <v>40</v>
      </c>
      <c r="H791" s="1" t="s">
        <v>33</v>
      </c>
      <c r="I791" s="1" t="s">
        <v>38</v>
      </c>
      <c r="J791" s="7">
        <v>102</v>
      </c>
      <c r="K791" s="7">
        <v>114.74</v>
      </c>
      <c r="L791" s="8">
        <v>408</v>
      </c>
      <c r="M791" s="8">
        <v>458.96</v>
      </c>
      <c r="N791">
        <v>29</v>
      </c>
      <c r="O791" t="s">
        <v>128</v>
      </c>
      <c r="P791" t="s">
        <v>121</v>
      </c>
    </row>
    <row r="792" spans="1:16" x14ac:dyDescent="0.25">
      <c r="A792" s="10">
        <v>45534</v>
      </c>
      <c r="B792" s="1" t="s">
        <v>104</v>
      </c>
      <c r="C792" s="2">
        <v>8</v>
      </c>
      <c r="D792" s="1" t="s">
        <v>13</v>
      </c>
      <c r="E792" s="1" t="s">
        <v>13</v>
      </c>
      <c r="F792" s="3">
        <v>0.05</v>
      </c>
      <c r="G792" s="1" t="s">
        <v>105</v>
      </c>
      <c r="H792" s="1" t="s">
        <v>33</v>
      </c>
      <c r="I792" s="1" t="s">
        <v>26</v>
      </c>
      <c r="J792" s="7">
        <v>93</v>
      </c>
      <c r="K792" s="7">
        <v>103.55</v>
      </c>
      <c r="L792" s="8">
        <v>744</v>
      </c>
      <c r="M792" s="8">
        <v>828.4</v>
      </c>
      <c r="N792">
        <v>30</v>
      </c>
      <c r="O792" t="s">
        <v>128</v>
      </c>
      <c r="P792" t="s">
        <v>121</v>
      </c>
    </row>
    <row r="793" spans="1:16" x14ac:dyDescent="0.25">
      <c r="A793" s="10">
        <v>45535</v>
      </c>
      <c r="B793" s="1" t="s">
        <v>58</v>
      </c>
      <c r="C793" s="2">
        <v>2</v>
      </c>
      <c r="D793" s="1" t="s">
        <v>13</v>
      </c>
      <c r="E793" s="1" t="s">
        <v>23</v>
      </c>
      <c r="F793" s="3">
        <v>0.05</v>
      </c>
      <c r="G793" s="1" t="s">
        <v>59</v>
      </c>
      <c r="H793" s="1" t="s">
        <v>43</v>
      </c>
      <c r="I793" s="1" t="s">
        <v>26</v>
      </c>
      <c r="J793" s="7">
        <v>101</v>
      </c>
      <c r="K793" s="7">
        <v>110.39</v>
      </c>
      <c r="L793" s="8">
        <v>202</v>
      </c>
      <c r="M793" s="8">
        <v>220.78</v>
      </c>
      <c r="N793">
        <v>31</v>
      </c>
      <c r="O793" t="s">
        <v>128</v>
      </c>
      <c r="P793" t="s">
        <v>121</v>
      </c>
    </row>
    <row r="794" spans="1:16" x14ac:dyDescent="0.25">
      <c r="A794" s="10">
        <v>45535</v>
      </c>
      <c r="B794" s="1" t="s">
        <v>50</v>
      </c>
      <c r="C794" s="2">
        <v>15</v>
      </c>
      <c r="D794" s="1" t="s">
        <v>12</v>
      </c>
      <c r="E794" s="1" t="s">
        <v>13</v>
      </c>
      <c r="F794" s="3">
        <v>0</v>
      </c>
      <c r="G794" s="1" t="s">
        <v>51</v>
      </c>
      <c r="H794" s="1" t="s">
        <v>33</v>
      </c>
      <c r="I794" s="1" t="s">
        <v>26</v>
      </c>
      <c r="J794" s="7">
        <v>111</v>
      </c>
      <c r="K794" s="7">
        <v>123.48</v>
      </c>
      <c r="L794" s="8">
        <v>1665</v>
      </c>
      <c r="M794" s="8">
        <v>1852.2</v>
      </c>
      <c r="N794">
        <v>31</v>
      </c>
      <c r="O794" t="s">
        <v>128</v>
      </c>
      <c r="P794" t="s">
        <v>121</v>
      </c>
    </row>
    <row r="795" spans="1:16" x14ac:dyDescent="0.25">
      <c r="A795" s="10">
        <v>45535</v>
      </c>
      <c r="B795" s="1" t="s">
        <v>70</v>
      </c>
      <c r="C795" s="2">
        <v>7</v>
      </c>
      <c r="D795" s="1" t="s">
        <v>13</v>
      </c>
      <c r="E795" s="1" t="s">
        <v>23</v>
      </c>
      <c r="F795" s="3">
        <v>0</v>
      </c>
      <c r="G795" s="1" t="s">
        <v>71</v>
      </c>
      <c r="H795" s="1" t="s">
        <v>43</v>
      </c>
      <c r="I795" s="1" t="s">
        <v>21</v>
      </c>
      <c r="J795" s="7">
        <v>56</v>
      </c>
      <c r="K795" s="7">
        <v>65.42</v>
      </c>
      <c r="L795" s="8">
        <v>392</v>
      </c>
      <c r="M795" s="8">
        <v>457.94</v>
      </c>
      <c r="N795">
        <v>31</v>
      </c>
      <c r="O795" t="s">
        <v>128</v>
      </c>
      <c r="P795" t="s">
        <v>121</v>
      </c>
    </row>
    <row r="796" spans="1:16" x14ac:dyDescent="0.25">
      <c r="A796" s="10">
        <v>45535</v>
      </c>
      <c r="B796" s="1" t="s">
        <v>112</v>
      </c>
      <c r="C796" s="2">
        <v>1</v>
      </c>
      <c r="D796" s="1" t="s">
        <v>18</v>
      </c>
      <c r="E796" s="1" t="s">
        <v>23</v>
      </c>
      <c r="F796" s="3">
        <v>0</v>
      </c>
      <c r="G796" s="1" t="s">
        <v>113</v>
      </c>
      <c r="H796" s="1" t="s">
        <v>20</v>
      </c>
      <c r="I796" s="1" t="s">
        <v>16</v>
      </c>
      <c r="J796" s="7">
        <v>9</v>
      </c>
      <c r="K796" s="7">
        <v>10.039999999999999</v>
      </c>
      <c r="L796" s="8">
        <v>9</v>
      </c>
      <c r="M796" s="8">
        <v>10.039999999999999</v>
      </c>
      <c r="N796">
        <v>31</v>
      </c>
      <c r="O796" t="s">
        <v>128</v>
      </c>
      <c r="P796" t="s">
        <v>121</v>
      </c>
    </row>
    <row r="797" spans="1:16" x14ac:dyDescent="0.25">
      <c r="A797" s="10">
        <v>45536</v>
      </c>
      <c r="B797" s="1" t="s">
        <v>27</v>
      </c>
      <c r="C797" s="2">
        <v>13</v>
      </c>
      <c r="D797" s="1" t="s">
        <v>18</v>
      </c>
      <c r="E797" s="1" t="s">
        <v>23</v>
      </c>
      <c r="F797" s="3">
        <v>0</v>
      </c>
      <c r="G797" s="1" t="s">
        <v>28</v>
      </c>
      <c r="H797" s="1" t="s">
        <v>25</v>
      </c>
      <c r="I797" s="1" t="s">
        <v>26</v>
      </c>
      <c r="J797" s="7">
        <v>51</v>
      </c>
      <c r="K797" s="7">
        <v>56.57</v>
      </c>
      <c r="L797" s="8">
        <v>663</v>
      </c>
      <c r="M797" s="8">
        <v>735.41</v>
      </c>
      <c r="N797">
        <v>1</v>
      </c>
      <c r="O797" t="s">
        <v>129</v>
      </c>
      <c r="P797" t="s">
        <v>121</v>
      </c>
    </row>
    <row r="798" spans="1:16" x14ac:dyDescent="0.25">
      <c r="A798" s="10">
        <v>45536</v>
      </c>
      <c r="B798" s="1" t="s">
        <v>66</v>
      </c>
      <c r="C798" s="2">
        <v>13</v>
      </c>
      <c r="D798" s="1" t="s">
        <v>13</v>
      </c>
      <c r="E798" s="1" t="s">
        <v>13</v>
      </c>
      <c r="F798" s="3">
        <v>0</v>
      </c>
      <c r="G798" s="1" t="s">
        <v>67</v>
      </c>
      <c r="H798" s="1" t="s">
        <v>15</v>
      </c>
      <c r="I798" s="1" t="s">
        <v>21</v>
      </c>
      <c r="J798" s="7">
        <v>63</v>
      </c>
      <c r="K798" s="7">
        <v>68.63</v>
      </c>
      <c r="L798" s="8">
        <v>819</v>
      </c>
      <c r="M798" s="8">
        <v>892.18999999999994</v>
      </c>
      <c r="N798">
        <v>1</v>
      </c>
      <c r="O798" t="s">
        <v>129</v>
      </c>
      <c r="P798" t="s">
        <v>121</v>
      </c>
    </row>
    <row r="799" spans="1:16" x14ac:dyDescent="0.25">
      <c r="A799" s="10">
        <v>45537</v>
      </c>
      <c r="B799" s="1" t="s">
        <v>39</v>
      </c>
      <c r="C799" s="2">
        <v>5</v>
      </c>
      <c r="D799" s="1" t="s">
        <v>18</v>
      </c>
      <c r="E799" s="1" t="s">
        <v>23</v>
      </c>
      <c r="F799" s="3">
        <v>0</v>
      </c>
      <c r="G799" s="1" t="s">
        <v>40</v>
      </c>
      <c r="H799" s="1" t="s">
        <v>33</v>
      </c>
      <c r="I799" s="1" t="s">
        <v>38</v>
      </c>
      <c r="J799" s="7">
        <v>108</v>
      </c>
      <c r="K799" s="7">
        <v>121.55</v>
      </c>
      <c r="L799" s="8">
        <v>540</v>
      </c>
      <c r="M799" s="8">
        <v>607.75</v>
      </c>
      <c r="N799">
        <v>2</v>
      </c>
      <c r="O799" t="s">
        <v>129</v>
      </c>
      <c r="P799" t="s">
        <v>121</v>
      </c>
    </row>
    <row r="800" spans="1:16" x14ac:dyDescent="0.25">
      <c r="A800" s="10">
        <v>45539</v>
      </c>
      <c r="B800" s="1" t="s">
        <v>11</v>
      </c>
      <c r="C800" s="2">
        <v>1</v>
      </c>
      <c r="D800" s="1" t="s">
        <v>13</v>
      </c>
      <c r="E800" s="1" t="s">
        <v>13</v>
      </c>
      <c r="F800" s="3">
        <v>0</v>
      </c>
      <c r="G800" s="1" t="s">
        <v>14</v>
      </c>
      <c r="H800" s="1" t="s">
        <v>15</v>
      </c>
      <c r="I800" s="1" t="s">
        <v>16</v>
      </c>
      <c r="J800" s="7">
        <v>8</v>
      </c>
      <c r="K800" s="7">
        <v>9.18</v>
      </c>
      <c r="L800" s="8">
        <v>8</v>
      </c>
      <c r="M800" s="8">
        <v>9.18</v>
      </c>
      <c r="N800">
        <v>4</v>
      </c>
      <c r="O800" t="s">
        <v>129</v>
      </c>
      <c r="P800" t="s">
        <v>121</v>
      </c>
    </row>
    <row r="801" spans="1:16" x14ac:dyDescent="0.25">
      <c r="A801" s="10">
        <v>45540</v>
      </c>
      <c r="B801" s="1" t="s">
        <v>102</v>
      </c>
      <c r="C801" s="2">
        <v>1</v>
      </c>
      <c r="D801" s="1" t="s">
        <v>12</v>
      </c>
      <c r="E801" s="1" t="s">
        <v>23</v>
      </c>
      <c r="F801" s="3">
        <v>0</v>
      </c>
      <c r="G801" s="1" t="s">
        <v>103</v>
      </c>
      <c r="H801" s="1" t="s">
        <v>15</v>
      </c>
      <c r="I801" s="1" t="s">
        <v>38</v>
      </c>
      <c r="J801" s="7">
        <v>156</v>
      </c>
      <c r="K801" s="7">
        <v>182.47</v>
      </c>
      <c r="L801" s="8">
        <v>156</v>
      </c>
      <c r="M801" s="8">
        <v>182.47</v>
      </c>
      <c r="N801">
        <v>5</v>
      </c>
      <c r="O801" t="s">
        <v>129</v>
      </c>
      <c r="P801" t="s">
        <v>121</v>
      </c>
    </row>
    <row r="802" spans="1:16" x14ac:dyDescent="0.25">
      <c r="A802" s="10">
        <v>45540</v>
      </c>
      <c r="B802" s="1" t="s">
        <v>54</v>
      </c>
      <c r="C802" s="2">
        <v>4</v>
      </c>
      <c r="D802" s="1" t="s">
        <v>12</v>
      </c>
      <c r="E802" s="1" t="s">
        <v>13</v>
      </c>
      <c r="F802" s="3">
        <v>0.05</v>
      </c>
      <c r="G802" s="1" t="s">
        <v>55</v>
      </c>
      <c r="H802" s="1" t="s">
        <v>43</v>
      </c>
      <c r="I802" s="1" t="s">
        <v>26</v>
      </c>
      <c r="J802" s="7">
        <v>73</v>
      </c>
      <c r="K802" s="7">
        <v>78.180000000000007</v>
      </c>
      <c r="L802" s="8">
        <v>292</v>
      </c>
      <c r="M802" s="8">
        <v>312.72000000000003</v>
      </c>
      <c r="N802">
        <v>5</v>
      </c>
      <c r="O802" t="s">
        <v>129</v>
      </c>
      <c r="P802" t="s">
        <v>121</v>
      </c>
    </row>
    <row r="803" spans="1:16" x14ac:dyDescent="0.25">
      <c r="A803" s="10">
        <v>45541</v>
      </c>
      <c r="B803" s="1" t="s">
        <v>112</v>
      </c>
      <c r="C803" s="2">
        <v>12</v>
      </c>
      <c r="D803" s="1" t="s">
        <v>13</v>
      </c>
      <c r="E803" s="1" t="s">
        <v>13</v>
      </c>
      <c r="F803" s="3">
        <v>0</v>
      </c>
      <c r="G803" s="1" t="s">
        <v>113</v>
      </c>
      <c r="H803" s="1" t="s">
        <v>20</v>
      </c>
      <c r="I803" s="1" t="s">
        <v>16</v>
      </c>
      <c r="J803" s="7">
        <v>10</v>
      </c>
      <c r="K803" s="7">
        <v>10.87</v>
      </c>
      <c r="L803" s="8">
        <v>120</v>
      </c>
      <c r="M803" s="8">
        <v>130.44</v>
      </c>
      <c r="N803">
        <v>6</v>
      </c>
      <c r="O803" t="s">
        <v>129</v>
      </c>
      <c r="P803" t="s">
        <v>121</v>
      </c>
    </row>
    <row r="804" spans="1:16" x14ac:dyDescent="0.25">
      <c r="A804" s="10">
        <v>45542</v>
      </c>
      <c r="B804" s="1" t="s">
        <v>58</v>
      </c>
      <c r="C804" s="2">
        <v>5</v>
      </c>
      <c r="D804" s="1" t="s">
        <v>13</v>
      </c>
      <c r="E804" s="1" t="s">
        <v>23</v>
      </c>
      <c r="F804" s="3">
        <v>0.02</v>
      </c>
      <c r="G804" s="1" t="s">
        <v>59</v>
      </c>
      <c r="H804" s="1" t="s">
        <v>43</v>
      </c>
      <c r="I804" s="1" t="s">
        <v>26</v>
      </c>
      <c r="J804" s="7">
        <v>108</v>
      </c>
      <c r="K804" s="7">
        <v>119.98</v>
      </c>
      <c r="L804" s="8">
        <v>540</v>
      </c>
      <c r="M804" s="8">
        <v>599.9</v>
      </c>
      <c r="N804">
        <v>7</v>
      </c>
      <c r="O804" t="s">
        <v>129</v>
      </c>
      <c r="P804" t="s">
        <v>121</v>
      </c>
    </row>
    <row r="805" spans="1:16" x14ac:dyDescent="0.25">
      <c r="A805" s="10">
        <v>45544</v>
      </c>
      <c r="B805" s="1" t="s">
        <v>92</v>
      </c>
      <c r="C805" s="2">
        <v>5</v>
      </c>
      <c r="D805" s="1" t="s">
        <v>18</v>
      </c>
      <c r="E805" s="1" t="s">
        <v>23</v>
      </c>
      <c r="F805" s="3">
        <v>0</v>
      </c>
      <c r="G805" s="1" t="s">
        <v>93</v>
      </c>
      <c r="H805" s="1" t="s">
        <v>33</v>
      </c>
      <c r="I805" s="1" t="s">
        <v>26</v>
      </c>
      <c r="J805" s="7">
        <v>76</v>
      </c>
      <c r="K805" s="7">
        <v>84.68</v>
      </c>
      <c r="L805" s="8">
        <v>380</v>
      </c>
      <c r="M805" s="8">
        <v>423.40000000000003</v>
      </c>
      <c r="N805">
        <v>9</v>
      </c>
      <c r="O805" t="s">
        <v>129</v>
      </c>
      <c r="P805" t="s">
        <v>121</v>
      </c>
    </row>
    <row r="806" spans="1:16" x14ac:dyDescent="0.25">
      <c r="A806" s="10">
        <v>45545</v>
      </c>
      <c r="B806" s="1" t="s">
        <v>54</v>
      </c>
      <c r="C806" s="2">
        <v>7</v>
      </c>
      <c r="D806" s="1" t="s">
        <v>18</v>
      </c>
      <c r="E806" s="1" t="s">
        <v>13</v>
      </c>
      <c r="F806" s="3">
        <v>0</v>
      </c>
      <c r="G806" s="1" t="s">
        <v>55</v>
      </c>
      <c r="H806" s="1" t="s">
        <v>43</v>
      </c>
      <c r="I806" s="1" t="s">
        <v>26</v>
      </c>
      <c r="J806" s="7">
        <v>76</v>
      </c>
      <c r="K806" s="7">
        <v>88.09</v>
      </c>
      <c r="L806" s="8">
        <v>532</v>
      </c>
      <c r="M806" s="8">
        <v>616.63</v>
      </c>
      <c r="N806">
        <v>10</v>
      </c>
      <c r="O806" t="s">
        <v>129</v>
      </c>
      <c r="P806" t="s">
        <v>121</v>
      </c>
    </row>
    <row r="807" spans="1:16" x14ac:dyDescent="0.25">
      <c r="A807" s="10">
        <v>45545</v>
      </c>
      <c r="B807" s="1" t="s">
        <v>96</v>
      </c>
      <c r="C807" s="2">
        <v>8</v>
      </c>
      <c r="D807" s="1" t="s">
        <v>18</v>
      </c>
      <c r="E807" s="1" t="s">
        <v>23</v>
      </c>
      <c r="F807" s="3">
        <v>0</v>
      </c>
      <c r="G807" s="1" t="s">
        <v>97</v>
      </c>
      <c r="H807" s="1" t="s">
        <v>20</v>
      </c>
      <c r="I807" s="1" t="s">
        <v>21</v>
      </c>
      <c r="J807" s="7">
        <v>57</v>
      </c>
      <c r="K807" s="7">
        <v>66.5</v>
      </c>
      <c r="L807" s="8">
        <v>456</v>
      </c>
      <c r="M807" s="8">
        <v>532</v>
      </c>
      <c r="N807">
        <v>10</v>
      </c>
      <c r="O807" t="s">
        <v>129</v>
      </c>
      <c r="P807" t="s">
        <v>121</v>
      </c>
    </row>
    <row r="808" spans="1:16" x14ac:dyDescent="0.25">
      <c r="A808" s="10">
        <v>45546</v>
      </c>
      <c r="B808" s="1" t="s">
        <v>90</v>
      </c>
      <c r="C808" s="2">
        <v>6</v>
      </c>
      <c r="D808" s="1" t="s">
        <v>13</v>
      </c>
      <c r="E808" s="1" t="s">
        <v>13</v>
      </c>
      <c r="F808" s="3">
        <v>0</v>
      </c>
      <c r="G808" s="1" t="s">
        <v>91</v>
      </c>
      <c r="H808" s="1" t="s">
        <v>20</v>
      </c>
      <c r="I808" s="1" t="s">
        <v>26</v>
      </c>
      <c r="J808" s="7">
        <v>94</v>
      </c>
      <c r="K808" s="7">
        <v>101.76</v>
      </c>
      <c r="L808" s="8">
        <v>564</v>
      </c>
      <c r="M808" s="8">
        <v>610.56000000000006</v>
      </c>
      <c r="N808">
        <v>11</v>
      </c>
      <c r="O808" t="s">
        <v>129</v>
      </c>
      <c r="P808" t="s">
        <v>121</v>
      </c>
    </row>
    <row r="809" spans="1:16" x14ac:dyDescent="0.25">
      <c r="A809" s="10">
        <v>45547</v>
      </c>
      <c r="B809" s="1" t="s">
        <v>92</v>
      </c>
      <c r="C809" s="2">
        <v>10</v>
      </c>
      <c r="D809" s="1" t="s">
        <v>18</v>
      </c>
      <c r="E809" s="1" t="s">
        <v>23</v>
      </c>
      <c r="F809" s="3">
        <v>0</v>
      </c>
      <c r="G809" s="1" t="s">
        <v>93</v>
      </c>
      <c r="H809" s="1" t="s">
        <v>33</v>
      </c>
      <c r="I809" s="1" t="s">
        <v>26</v>
      </c>
      <c r="J809" s="7">
        <v>78</v>
      </c>
      <c r="K809" s="7">
        <v>86.8</v>
      </c>
      <c r="L809" s="8">
        <v>780</v>
      </c>
      <c r="M809" s="8">
        <v>868</v>
      </c>
      <c r="N809">
        <v>12</v>
      </c>
      <c r="O809" t="s">
        <v>129</v>
      </c>
      <c r="P809" t="s">
        <v>121</v>
      </c>
    </row>
    <row r="810" spans="1:16" x14ac:dyDescent="0.25">
      <c r="A810" s="10">
        <v>45548</v>
      </c>
      <c r="B810" s="1" t="s">
        <v>104</v>
      </c>
      <c r="C810" s="2">
        <v>1</v>
      </c>
      <c r="D810" s="1" t="s">
        <v>18</v>
      </c>
      <c r="E810" s="1" t="s">
        <v>13</v>
      </c>
      <c r="F810" s="3">
        <v>0</v>
      </c>
      <c r="G810" s="1" t="s">
        <v>105</v>
      </c>
      <c r="H810" s="1" t="s">
        <v>33</v>
      </c>
      <c r="I810" s="1" t="s">
        <v>26</v>
      </c>
      <c r="J810" s="7">
        <v>97</v>
      </c>
      <c r="K810" s="7">
        <v>108.31</v>
      </c>
      <c r="L810" s="8">
        <v>97</v>
      </c>
      <c r="M810" s="8">
        <v>108.31</v>
      </c>
      <c r="N810">
        <v>13</v>
      </c>
      <c r="O810" t="s">
        <v>129</v>
      </c>
      <c r="P810" t="s">
        <v>121</v>
      </c>
    </row>
    <row r="811" spans="1:16" x14ac:dyDescent="0.25">
      <c r="A811" s="10">
        <v>45548</v>
      </c>
      <c r="B811" s="1" t="s">
        <v>41</v>
      </c>
      <c r="C811" s="2">
        <v>1</v>
      </c>
      <c r="D811" s="1" t="s">
        <v>13</v>
      </c>
      <c r="E811" s="1" t="s">
        <v>23</v>
      </c>
      <c r="F811" s="3">
        <v>0</v>
      </c>
      <c r="G811" s="1" t="s">
        <v>42</v>
      </c>
      <c r="H811" s="1" t="s">
        <v>43</v>
      </c>
      <c r="I811" s="1" t="s">
        <v>26</v>
      </c>
      <c r="J811" s="7">
        <v>82</v>
      </c>
      <c r="K811" s="7">
        <v>89.9</v>
      </c>
      <c r="L811" s="8">
        <v>82</v>
      </c>
      <c r="M811" s="8">
        <v>89.9</v>
      </c>
      <c r="N811">
        <v>13</v>
      </c>
      <c r="O811" t="s">
        <v>129</v>
      </c>
      <c r="P811" t="s">
        <v>121</v>
      </c>
    </row>
    <row r="812" spans="1:16" x14ac:dyDescent="0.25">
      <c r="A812" s="10">
        <v>45550</v>
      </c>
      <c r="B812" s="1" t="s">
        <v>50</v>
      </c>
      <c r="C812" s="2">
        <v>8</v>
      </c>
      <c r="D812" s="1" t="s">
        <v>13</v>
      </c>
      <c r="E812" s="1" t="s">
        <v>13</v>
      </c>
      <c r="F812" s="3">
        <v>0</v>
      </c>
      <c r="G812" s="1" t="s">
        <v>51</v>
      </c>
      <c r="H812" s="1" t="s">
        <v>33</v>
      </c>
      <c r="I812" s="1" t="s">
        <v>26</v>
      </c>
      <c r="J812" s="7">
        <v>107</v>
      </c>
      <c r="K812" s="7">
        <v>124.38</v>
      </c>
      <c r="L812" s="8">
        <v>856</v>
      </c>
      <c r="M812" s="8">
        <v>995.04</v>
      </c>
      <c r="N812">
        <v>15</v>
      </c>
      <c r="O812" t="s">
        <v>129</v>
      </c>
      <c r="P812" t="s">
        <v>121</v>
      </c>
    </row>
    <row r="813" spans="1:16" x14ac:dyDescent="0.25">
      <c r="A813" s="10">
        <v>45551</v>
      </c>
      <c r="B813" s="1" t="s">
        <v>68</v>
      </c>
      <c r="C813" s="2">
        <v>8</v>
      </c>
      <c r="D813" s="1" t="s">
        <v>18</v>
      </c>
      <c r="E813" s="1" t="s">
        <v>23</v>
      </c>
      <c r="F813" s="3">
        <v>0.02</v>
      </c>
      <c r="G813" s="1" t="s">
        <v>69</v>
      </c>
      <c r="H813" s="1" t="s">
        <v>15</v>
      </c>
      <c r="I813" s="1" t="s">
        <v>38</v>
      </c>
      <c r="J813" s="7">
        <v>135</v>
      </c>
      <c r="K813" s="7">
        <v>149.06</v>
      </c>
      <c r="L813" s="8">
        <v>1080</v>
      </c>
      <c r="M813" s="8">
        <v>1192.48</v>
      </c>
      <c r="N813">
        <v>16</v>
      </c>
      <c r="O813" t="s">
        <v>129</v>
      </c>
      <c r="P813" t="s">
        <v>121</v>
      </c>
    </row>
    <row r="814" spans="1:16" x14ac:dyDescent="0.25">
      <c r="A814" s="10">
        <v>45551</v>
      </c>
      <c r="B814" s="1" t="s">
        <v>74</v>
      </c>
      <c r="C814" s="2">
        <v>6</v>
      </c>
      <c r="D814" s="1" t="s">
        <v>13</v>
      </c>
      <c r="E814" s="1" t="s">
        <v>23</v>
      </c>
      <c r="F814" s="3">
        <v>0</v>
      </c>
      <c r="G814" s="1" t="s">
        <v>75</v>
      </c>
      <c r="H814" s="1" t="s">
        <v>20</v>
      </c>
      <c r="I814" s="1" t="s">
        <v>21</v>
      </c>
      <c r="J814" s="7">
        <v>51</v>
      </c>
      <c r="K814" s="7">
        <v>57.65</v>
      </c>
      <c r="L814" s="8">
        <v>306</v>
      </c>
      <c r="M814" s="8">
        <v>345.9</v>
      </c>
      <c r="N814">
        <v>16</v>
      </c>
      <c r="O814" t="s">
        <v>129</v>
      </c>
      <c r="P814" t="s">
        <v>121</v>
      </c>
    </row>
    <row r="815" spans="1:16" x14ac:dyDescent="0.25">
      <c r="A815" s="10">
        <v>45551</v>
      </c>
      <c r="B815" s="1" t="s">
        <v>46</v>
      </c>
      <c r="C815" s="2">
        <v>8</v>
      </c>
      <c r="D815" s="1" t="s">
        <v>13</v>
      </c>
      <c r="E815" s="1" t="s">
        <v>13</v>
      </c>
      <c r="F815" s="3">
        <v>0</v>
      </c>
      <c r="G815" s="1" t="s">
        <v>47</v>
      </c>
      <c r="H815" s="1" t="s">
        <v>15</v>
      </c>
      <c r="I815" s="1" t="s">
        <v>16</v>
      </c>
      <c r="J815" s="7">
        <v>9</v>
      </c>
      <c r="K815" s="7">
        <v>9.99</v>
      </c>
      <c r="L815" s="8">
        <v>72</v>
      </c>
      <c r="M815" s="8">
        <v>79.92</v>
      </c>
      <c r="N815">
        <v>16</v>
      </c>
      <c r="O815" t="s">
        <v>129</v>
      </c>
      <c r="P815" t="s">
        <v>121</v>
      </c>
    </row>
    <row r="816" spans="1:16" x14ac:dyDescent="0.25">
      <c r="A816" s="10">
        <v>45552</v>
      </c>
      <c r="B816" s="1" t="s">
        <v>50</v>
      </c>
      <c r="C816" s="2">
        <v>12</v>
      </c>
      <c r="D816" s="1" t="s">
        <v>18</v>
      </c>
      <c r="E816" s="1" t="s">
        <v>13</v>
      </c>
      <c r="F816" s="3">
        <v>0</v>
      </c>
      <c r="G816" s="1" t="s">
        <v>51</v>
      </c>
      <c r="H816" s="1" t="s">
        <v>33</v>
      </c>
      <c r="I816" s="1" t="s">
        <v>26</v>
      </c>
      <c r="J816" s="7">
        <v>108</v>
      </c>
      <c r="K816" s="7">
        <v>117.31</v>
      </c>
      <c r="L816" s="8">
        <v>1296</v>
      </c>
      <c r="M816" s="8">
        <v>1407.72</v>
      </c>
      <c r="N816">
        <v>17</v>
      </c>
      <c r="O816" t="s">
        <v>129</v>
      </c>
      <c r="P816" t="s">
        <v>121</v>
      </c>
    </row>
    <row r="817" spans="1:16" x14ac:dyDescent="0.25">
      <c r="A817" s="10">
        <v>45554</v>
      </c>
      <c r="B817" s="1" t="s">
        <v>48</v>
      </c>
      <c r="C817" s="2">
        <v>6</v>
      </c>
      <c r="D817" s="1" t="s">
        <v>18</v>
      </c>
      <c r="E817" s="1" t="s">
        <v>13</v>
      </c>
      <c r="F817" s="3">
        <v>0</v>
      </c>
      <c r="G817" s="1" t="s">
        <v>49</v>
      </c>
      <c r="H817" s="1" t="s">
        <v>15</v>
      </c>
      <c r="I817" s="1" t="s">
        <v>26</v>
      </c>
      <c r="J817" s="7">
        <v>72</v>
      </c>
      <c r="K817" s="7">
        <v>82.3</v>
      </c>
      <c r="L817" s="8">
        <v>432</v>
      </c>
      <c r="M817" s="8">
        <v>493.79999999999995</v>
      </c>
      <c r="N817">
        <v>19</v>
      </c>
      <c r="O817" t="s">
        <v>129</v>
      </c>
      <c r="P817" t="s">
        <v>121</v>
      </c>
    </row>
    <row r="818" spans="1:16" x14ac:dyDescent="0.25">
      <c r="A818" s="10">
        <v>45554</v>
      </c>
      <c r="B818" s="1" t="s">
        <v>62</v>
      </c>
      <c r="C818" s="2">
        <v>11</v>
      </c>
      <c r="D818" s="1" t="s">
        <v>13</v>
      </c>
      <c r="E818" s="1" t="s">
        <v>13</v>
      </c>
      <c r="F818" s="3">
        <v>0</v>
      </c>
      <c r="G818" s="1" t="s">
        <v>63</v>
      </c>
      <c r="H818" s="1" t="s">
        <v>15</v>
      </c>
      <c r="I818" s="1" t="s">
        <v>38</v>
      </c>
      <c r="J818" s="7">
        <v>102</v>
      </c>
      <c r="K818" s="7">
        <v>115.69</v>
      </c>
      <c r="L818" s="8">
        <v>1122</v>
      </c>
      <c r="M818" s="8">
        <v>1272.5899999999999</v>
      </c>
      <c r="N818">
        <v>19</v>
      </c>
      <c r="O818" t="s">
        <v>129</v>
      </c>
      <c r="P818" t="s">
        <v>121</v>
      </c>
    </row>
    <row r="819" spans="1:16" x14ac:dyDescent="0.25">
      <c r="A819" s="10">
        <v>45554</v>
      </c>
      <c r="B819" s="1" t="s">
        <v>70</v>
      </c>
      <c r="C819" s="2">
        <v>1</v>
      </c>
      <c r="D819" s="1" t="s">
        <v>13</v>
      </c>
      <c r="E819" s="1" t="s">
        <v>23</v>
      </c>
      <c r="F819" s="3">
        <v>0</v>
      </c>
      <c r="G819" s="1" t="s">
        <v>71</v>
      </c>
      <c r="H819" s="1" t="s">
        <v>43</v>
      </c>
      <c r="I819" s="1" t="s">
        <v>21</v>
      </c>
      <c r="J819" s="7">
        <v>57</v>
      </c>
      <c r="K819" s="7">
        <v>64.5</v>
      </c>
      <c r="L819" s="8">
        <v>57</v>
      </c>
      <c r="M819" s="8">
        <v>64.5</v>
      </c>
      <c r="N819">
        <v>19</v>
      </c>
      <c r="O819" t="s">
        <v>129</v>
      </c>
      <c r="P819" t="s">
        <v>121</v>
      </c>
    </row>
    <row r="820" spans="1:16" x14ac:dyDescent="0.25">
      <c r="A820" s="10">
        <v>45554</v>
      </c>
      <c r="B820" s="1" t="s">
        <v>39</v>
      </c>
      <c r="C820" s="2">
        <v>4</v>
      </c>
      <c r="D820" s="1" t="s">
        <v>13</v>
      </c>
      <c r="E820" s="1" t="s">
        <v>23</v>
      </c>
      <c r="F820" s="3">
        <v>0</v>
      </c>
      <c r="G820" s="1" t="s">
        <v>40</v>
      </c>
      <c r="H820" s="1" t="s">
        <v>33</v>
      </c>
      <c r="I820" s="1" t="s">
        <v>38</v>
      </c>
      <c r="J820" s="7">
        <v>104</v>
      </c>
      <c r="K820" s="7">
        <v>113.21</v>
      </c>
      <c r="L820" s="8">
        <v>416</v>
      </c>
      <c r="M820" s="8">
        <v>452.84</v>
      </c>
      <c r="N820">
        <v>19</v>
      </c>
      <c r="O820" t="s">
        <v>129</v>
      </c>
      <c r="P820" t="s">
        <v>121</v>
      </c>
    </row>
    <row r="821" spans="1:16" x14ac:dyDescent="0.25">
      <c r="A821" s="10">
        <v>45554</v>
      </c>
      <c r="B821" s="1" t="s">
        <v>104</v>
      </c>
      <c r="C821" s="2">
        <v>8</v>
      </c>
      <c r="D821" s="1" t="s">
        <v>12</v>
      </c>
      <c r="E821" s="1" t="s">
        <v>13</v>
      </c>
      <c r="F821" s="3">
        <v>0.05</v>
      </c>
      <c r="G821" s="1" t="s">
        <v>105</v>
      </c>
      <c r="H821" s="1" t="s">
        <v>33</v>
      </c>
      <c r="I821" s="1" t="s">
        <v>26</v>
      </c>
      <c r="J821" s="7">
        <v>93</v>
      </c>
      <c r="K821" s="7">
        <v>97.94</v>
      </c>
      <c r="L821" s="8">
        <v>744</v>
      </c>
      <c r="M821" s="8">
        <v>783.52</v>
      </c>
      <c r="N821">
        <v>19</v>
      </c>
      <c r="O821" t="s">
        <v>129</v>
      </c>
      <c r="P821" t="s">
        <v>121</v>
      </c>
    </row>
    <row r="822" spans="1:16" x14ac:dyDescent="0.25">
      <c r="A822" s="10">
        <v>45554</v>
      </c>
      <c r="B822" s="1" t="s">
        <v>98</v>
      </c>
      <c r="C822" s="2">
        <v>2</v>
      </c>
      <c r="D822" s="1" t="s">
        <v>18</v>
      </c>
      <c r="E822" s="1" t="s">
        <v>13</v>
      </c>
      <c r="F822" s="3">
        <v>0</v>
      </c>
      <c r="G822" s="1" t="s">
        <v>99</v>
      </c>
      <c r="H822" s="1" t="s">
        <v>43</v>
      </c>
      <c r="I822" s="1" t="s">
        <v>21</v>
      </c>
      <c r="J822" s="7">
        <v>46</v>
      </c>
      <c r="K822" s="7">
        <v>49.91</v>
      </c>
      <c r="L822" s="8">
        <v>92</v>
      </c>
      <c r="M822" s="8">
        <v>99.82</v>
      </c>
      <c r="N822">
        <v>19</v>
      </c>
      <c r="O822" t="s">
        <v>129</v>
      </c>
      <c r="P822" t="s">
        <v>121</v>
      </c>
    </row>
    <row r="823" spans="1:16" x14ac:dyDescent="0.25">
      <c r="A823" s="10">
        <v>45554</v>
      </c>
      <c r="B823" s="1" t="s">
        <v>72</v>
      </c>
      <c r="C823" s="2">
        <v>8</v>
      </c>
      <c r="D823" s="1" t="s">
        <v>13</v>
      </c>
      <c r="E823" s="1" t="s">
        <v>13</v>
      </c>
      <c r="F823" s="3">
        <v>0</v>
      </c>
      <c r="G823" s="1" t="s">
        <v>73</v>
      </c>
      <c r="H823" s="1" t="s">
        <v>33</v>
      </c>
      <c r="I823" s="1" t="s">
        <v>26</v>
      </c>
      <c r="J823" s="7">
        <v>70</v>
      </c>
      <c r="K823" s="7">
        <v>76.97</v>
      </c>
      <c r="L823" s="8">
        <v>560</v>
      </c>
      <c r="M823" s="8">
        <v>615.76</v>
      </c>
      <c r="N823">
        <v>19</v>
      </c>
      <c r="O823" t="s">
        <v>129</v>
      </c>
      <c r="P823" t="s">
        <v>121</v>
      </c>
    </row>
    <row r="824" spans="1:16" x14ac:dyDescent="0.25">
      <c r="A824" s="10">
        <v>45554</v>
      </c>
      <c r="B824" s="1" t="s">
        <v>54</v>
      </c>
      <c r="C824" s="2">
        <v>15</v>
      </c>
      <c r="D824" s="1" t="s">
        <v>13</v>
      </c>
      <c r="E824" s="1" t="s">
        <v>23</v>
      </c>
      <c r="F824" s="3">
        <v>0.05</v>
      </c>
      <c r="G824" s="1" t="s">
        <v>55</v>
      </c>
      <c r="H824" s="1" t="s">
        <v>43</v>
      </c>
      <c r="I824" s="1" t="s">
        <v>26</v>
      </c>
      <c r="J824" s="7">
        <v>76</v>
      </c>
      <c r="K824" s="7">
        <v>80</v>
      </c>
      <c r="L824" s="8">
        <v>1140</v>
      </c>
      <c r="M824" s="8">
        <v>1200</v>
      </c>
      <c r="N824">
        <v>19</v>
      </c>
      <c r="O824" t="s">
        <v>129</v>
      </c>
      <c r="P824" t="s">
        <v>121</v>
      </c>
    </row>
    <row r="825" spans="1:16" x14ac:dyDescent="0.25">
      <c r="A825" s="10">
        <v>45555</v>
      </c>
      <c r="B825" s="1" t="s">
        <v>94</v>
      </c>
      <c r="C825" s="2">
        <v>6</v>
      </c>
      <c r="D825" s="1" t="s">
        <v>12</v>
      </c>
      <c r="E825" s="1" t="s">
        <v>23</v>
      </c>
      <c r="F825" s="3">
        <v>0.1</v>
      </c>
      <c r="G825" s="1" t="s">
        <v>95</v>
      </c>
      <c r="H825" s="1" t="s">
        <v>20</v>
      </c>
      <c r="I825" s="1" t="s">
        <v>26</v>
      </c>
      <c r="J825" s="7">
        <v>61</v>
      </c>
      <c r="K825" s="7">
        <v>61.07</v>
      </c>
      <c r="L825" s="8">
        <v>366</v>
      </c>
      <c r="M825" s="8">
        <v>366.42</v>
      </c>
      <c r="N825">
        <v>20</v>
      </c>
      <c r="O825" t="s">
        <v>129</v>
      </c>
      <c r="P825" t="s">
        <v>121</v>
      </c>
    </row>
    <row r="826" spans="1:16" x14ac:dyDescent="0.25">
      <c r="A826" s="10">
        <v>45556</v>
      </c>
      <c r="B826" s="1" t="s">
        <v>80</v>
      </c>
      <c r="C826" s="2">
        <v>10</v>
      </c>
      <c r="D826" s="1" t="s">
        <v>12</v>
      </c>
      <c r="E826" s="1" t="s">
        <v>23</v>
      </c>
      <c r="F826" s="3">
        <v>0</v>
      </c>
      <c r="G826" s="1" t="s">
        <v>81</v>
      </c>
      <c r="H826" s="1" t="s">
        <v>20</v>
      </c>
      <c r="I826" s="1" t="s">
        <v>26</v>
      </c>
      <c r="J826" s="7">
        <v>99</v>
      </c>
      <c r="K826" s="7">
        <v>107.4</v>
      </c>
      <c r="L826" s="8">
        <v>990</v>
      </c>
      <c r="M826" s="8">
        <v>1074</v>
      </c>
      <c r="N826">
        <v>21</v>
      </c>
      <c r="O826" t="s">
        <v>129</v>
      </c>
      <c r="P826" t="s">
        <v>121</v>
      </c>
    </row>
    <row r="827" spans="1:16" x14ac:dyDescent="0.25">
      <c r="A827" s="10">
        <v>45557</v>
      </c>
      <c r="B827" s="1" t="s">
        <v>80</v>
      </c>
      <c r="C827" s="2">
        <v>13</v>
      </c>
      <c r="D827" s="1" t="s">
        <v>12</v>
      </c>
      <c r="E827" s="1" t="s">
        <v>23</v>
      </c>
      <c r="F827" s="3">
        <v>0.02</v>
      </c>
      <c r="G827" s="1" t="s">
        <v>81</v>
      </c>
      <c r="H827" s="1" t="s">
        <v>20</v>
      </c>
      <c r="I827" s="1" t="s">
        <v>26</v>
      </c>
      <c r="J827" s="7">
        <v>99</v>
      </c>
      <c r="K827" s="7">
        <v>107.04</v>
      </c>
      <c r="L827" s="8">
        <v>1287</v>
      </c>
      <c r="M827" s="8">
        <v>1391.52</v>
      </c>
      <c r="N827">
        <v>22</v>
      </c>
      <c r="O827" t="s">
        <v>129</v>
      </c>
      <c r="P827" t="s">
        <v>121</v>
      </c>
    </row>
    <row r="828" spans="1:16" x14ac:dyDescent="0.25">
      <c r="A828" s="10">
        <v>45558</v>
      </c>
      <c r="B828" s="1" t="s">
        <v>44</v>
      </c>
      <c r="C828" s="2">
        <v>12</v>
      </c>
      <c r="D828" s="1" t="s">
        <v>18</v>
      </c>
      <c r="E828" s="1" t="s">
        <v>13</v>
      </c>
      <c r="F828" s="3">
        <v>0</v>
      </c>
      <c r="G828" s="1" t="s">
        <v>45</v>
      </c>
      <c r="H828" s="1" t="s">
        <v>15</v>
      </c>
      <c r="I828" s="1" t="s">
        <v>38</v>
      </c>
      <c r="J828" s="7">
        <v>119</v>
      </c>
      <c r="K828" s="7">
        <v>133.19</v>
      </c>
      <c r="L828" s="8">
        <v>1428</v>
      </c>
      <c r="M828" s="8">
        <v>1598.28</v>
      </c>
      <c r="N828">
        <v>23</v>
      </c>
      <c r="O828" t="s">
        <v>129</v>
      </c>
      <c r="P828" t="s">
        <v>121</v>
      </c>
    </row>
    <row r="829" spans="1:16" x14ac:dyDescent="0.25">
      <c r="A829" s="10">
        <v>45559</v>
      </c>
      <c r="B829" s="1" t="s">
        <v>106</v>
      </c>
      <c r="C829" s="2">
        <v>1</v>
      </c>
      <c r="D829" s="1" t="s">
        <v>18</v>
      </c>
      <c r="E829" s="1" t="s">
        <v>13</v>
      </c>
      <c r="F829" s="3">
        <v>0.02</v>
      </c>
      <c r="G829" s="1" t="s">
        <v>107</v>
      </c>
      <c r="H829" s="1" t="s">
        <v>25</v>
      </c>
      <c r="I829" s="1" t="s">
        <v>21</v>
      </c>
      <c r="J829" s="7">
        <v>40</v>
      </c>
      <c r="K829" s="7">
        <v>45.47</v>
      </c>
      <c r="L829" s="8">
        <v>40</v>
      </c>
      <c r="M829" s="8">
        <v>45.47</v>
      </c>
      <c r="N829">
        <v>24</v>
      </c>
      <c r="O829" t="s">
        <v>129</v>
      </c>
      <c r="P829" t="s">
        <v>121</v>
      </c>
    </row>
    <row r="830" spans="1:16" x14ac:dyDescent="0.25">
      <c r="A830" s="10">
        <v>45559</v>
      </c>
      <c r="B830" s="1" t="s">
        <v>98</v>
      </c>
      <c r="C830" s="2">
        <v>14</v>
      </c>
      <c r="D830" s="1" t="s">
        <v>12</v>
      </c>
      <c r="E830" s="1" t="s">
        <v>13</v>
      </c>
      <c r="F830" s="3">
        <v>0.08</v>
      </c>
      <c r="G830" s="1" t="s">
        <v>99</v>
      </c>
      <c r="H830" s="1" t="s">
        <v>43</v>
      </c>
      <c r="I830" s="1" t="s">
        <v>21</v>
      </c>
      <c r="J830" s="7">
        <v>48</v>
      </c>
      <c r="K830" s="7">
        <v>48.76</v>
      </c>
      <c r="L830" s="8">
        <v>672</v>
      </c>
      <c r="M830" s="8">
        <v>682.64</v>
      </c>
      <c r="N830">
        <v>24</v>
      </c>
      <c r="O830" t="s">
        <v>129</v>
      </c>
      <c r="P830" t="s">
        <v>121</v>
      </c>
    </row>
    <row r="831" spans="1:16" x14ac:dyDescent="0.25">
      <c r="A831" s="10">
        <v>45560</v>
      </c>
      <c r="B831" s="1" t="s">
        <v>98</v>
      </c>
      <c r="C831" s="2">
        <v>2</v>
      </c>
      <c r="D831" s="1" t="s">
        <v>13</v>
      </c>
      <c r="E831" s="1" t="s">
        <v>13</v>
      </c>
      <c r="F831" s="3">
        <v>0</v>
      </c>
      <c r="G831" s="1" t="s">
        <v>99</v>
      </c>
      <c r="H831" s="1" t="s">
        <v>43</v>
      </c>
      <c r="I831" s="1" t="s">
        <v>21</v>
      </c>
      <c r="J831" s="7">
        <v>46</v>
      </c>
      <c r="K831" s="7">
        <v>53.9</v>
      </c>
      <c r="L831" s="8">
        <v>92</v>
      </c>
      <c r="M831" s="8">
        <v>107.8</v>
      </c>
      <c r="N831">
        <v>25</v>
      </c>
      <c r="O831" t="s">
        <v>129</v>
      </c>
      <c r="P831" t="s">
        <v>121</v>
      </c>
    </row>
    <row r="832" spans="1:16" x14ac:dyDescent="0.25">
      <c r="A832" s="10">
        <v>45561</v>
      </c>
      <c r="B832" s="1" t="s">
        <v>46</v>
      </c>
      <c r="C832" s="2">
        <v>4</v>
      </c>
      <c r="D832" s="1" t="s">
        <v>13</v>
      </c>
      <c r="E832" s="1" t="s">
        <v>13</v>
      </c>
      <c r="F832" s="3">
        <v>0</v>
      </c>
      <c r="G832" s="1" t="s">
        <v>47</v>
      </c>
      <c r="H832" s="1" t="s">
        <v>15</v>
      </c>
      <c r="I832" s="1" t="s">
        <v>16</v>
      </c>
      <c r="J832" s="7">
        <v>9</v>
      </c>
      <c r="K832" s="7">
        <v>9.84</v>
      </c>
      <c r="L832" s="8">
        <v>36</v>
      </c>
      <c r="M832" s="8">
        <v>39.36</v>
      </c>
      <c r="N832">
        <v>26</v>
      </c>
      <c r="O832" t="s">
        <v>129</v>
      </c>
      <c r="P832" t="s">
        <v>121</v>
      </c>
    </row>
    <row r="833" spans="1:16" x14ac:dyDescent="0.25">
      <c r="A833" s="10">
        <v>45563</v>
      </c>
      <c r="B833" s="1" t="s">
        <v>22</v>
      </c>
      <c r="C833" s="2">
        <v>8</v>
      </c>
      <c r="D833" s="1" t="s">
        <v>18</v>
      </c>
      <c r="E833" s="1" t="s">
        <v>13</v>
      </c>
      <c r="F833" s="3">
        <v>0</v>
      </c>
      <c r="G833" s="1" t="s">
        <v>24</v>
      </c>
      <c r="H833" s="1" t="s">
        <v>25</v>
      </c>
      <c r="I833" s="1" t="s">
        <v>26</v>
      </c>
      <c r="J833" s="7">
        <v>119</v>
      </c>
      <c r="K833" s="7">
        <v>137.04</v>
      </c>
      <c r="L833" s="8">
        <v>952</v>
      </c>
      <c r="M833" s="8">
        <v>1096.32</v>
      </c>
      <c r="N833">
        <v>28</v>
      </c>
      <c r="O833" t="s">
        <v>129</v>
      </c>
      <c r="P833" t="s">
        <v>121</v>
      </c>
    </row>
    <row r="834" spans="1:16" x14ac:dyDescent="0.25">
      <c r="A834" s="10">
        <v>45564</v>
      </c>
      <c r="B834" s="1" t="s">
        <v>92</v>
      </c>
      <c r="C834" s="2">
        <v>1</v>
      </c>
      <c r="D834" s="1" t="s">
        <v>12</v>
      </c>
      <c r="E834" s="1" t="s">
        <v>23</v>
      </c>
      <c r="F834" s="3">
        <v>0</v>
      </c>
      <c r="G834" s="1" t="s">
        <v>93</v>
      </c>
      <c r="H834" s="1" t="s">
        <v>33</v>
      </c>
      <c r="I834" s="1" t="s">
        <v>26</v>
      </c>
      <c r="J834" s="7">
        <v>77</v>
      </c>
      <c r="K834" s="7">
        <v>89.97</v>
      </c>
      <c r="L834" s="8">
        <v>77</v>
      </c>
      <c r="M834" s="8">
        <v>89.97</v>
      </c>
      <c r="N834">
        <v>29</v>
      </c>
      <c r="O834" t="s">
        <v>129</v>
      </c>
      <c r="P834" t="s">
        <v>121</v>
      </c>
    </row>
    <row r="835" spans="1:16" x14ac:dyDescent="0.25">
      <c r="A835" s="10">
        <v>45565</v>
      </c>
      <c r="B835" s="1" t="s">
        <v>48</v>
      </c>
      <c r="C835" s="2">
        <v>5</v>
      </c>
      <c r="D835" s="1" t="s">
        <v>18</v>
      </c>
      <c r="E835" s="1" t="s">
        <v>13</v>
      </c>
      <c r="F835" s="3">
        <v>0</v>
      </c>
      <c r="G835" s="1" t="s">
        <v>49</v>
      </c>
      <c r="H835" s="1" t="s">
        <v>15</v>
      </c>
      <c r="I835" s="1" t="s">
        <v>26</v>
      </c>
      <c r="J835" s="7">
        <v>71</v>
      </c>
      <c r="K835" s="7">
        <v>78.900000000000006</v>
      </c>
      <c r="L835" s="8">
        <v>355</v>
      </c>
      <c r="M835" s="8">
        <v>394.5</v>
      </c>
      <c r="N835">
        <v>30</v>
      </c>
      <c r="O835" t="s">
        <v>129</v>
      </c>
      <c r="P835" t="s">
        <v>121</v>
      </c>
    </row>
    <row r="836" spans="1:16" x14ac:dyDescent="0.25">
      <c r="A836" s="10">
        <v>45566</v>
      </c>
      <c r="B836" s="1" t="s">
        <v>64</v>
      </c>
      <c r="C836" s="2">
        <v>8</v>
      </c>
      <c r="D836" s="1" t="s">
        <v>18</v>
      </c>
      <c r="E836" s="1" t="s">
        <v>23</v>
      </c>
      <c r="F836" s="3">
        <v>0</v>
      </c>
      <c r="G836" s="1" t="s">
        <v>65</v>
      </c>
      <c r="H836" s="1" t="s">
        <v>25</v>
      </c>
      <c r="I836" s="1" t="s">
        <v>26</v>
      </c>
      <c r="J836" s="7">
        <v>65</v>
      </c>
      <c r="K836" s="7">
        <v>73.41</v>
      </c>
      <c r="L836" s="8">
        <v>520</v>
      </c>
      <c r="M836" s="8">
        <v>587.28</v>
      </c>
      <c r="N836">
        <v>1</v>
      </c>
      <c r="O836" t="s">
        <v>130</v>
      </c>
      <c r="P836" t="s">
        <v>121</v>
      </c>
    </row>
    <row r="837" spans="1:16" x14ac:dyDescent="0.25">
      <c r="A837" s="10">
        <v>45566</v>
      </c>
      <c r="B837" s="1" t="s">
        <v>52</v>
      </c>
      <c r="C837" s="2">
        <v>14</v>
      </c>
      <c r="D837" s="1" t="s">
        <v>13</v>
      </c>
      <c r="E837" s="1" t="s">
        <v>23</v>
      </c>
      <c r="F837" s="3">
        <v>0</v>
      </c>
      <c r="G837" s="1" t="s">
        <v>53</v>
      </c>
      <c r="H837" s="1" t="s">
        <v>25</v>
      </c>
      <c r="I837" s="1" t="s">
        <v>21</v>
      </c>
      <c r="J837" s="7">
        <v>63</v>
      </c>
      <c r="K837" s="7">
        <v>72.8</v>
      </c>
      <c r="L837" s="8">
        <v>882</v>
      </c>
      <c r="M837" s="8">
        <v>1019.1999999999999</v>
      </c>
      <c r="N837">
        <v>1</v>
      </c>
      <c r="O837" t="s">
        <v>130</v>
      </c>
      <c r="P837" t="s">
        <v>121</v>
      </c>
    </row>
    <row r="838" spans="1:16" x14ac:dyDescent="0.25">
      <c r="A838" s="10">
        <v>45567</v>
      </c>
      <c r="B838" s="1" t="s">
        <v>36</v>
      </c>
      <c r="C838" s="2">
        <v>4</v>
      </c>
      <c r="D838" s="1" t="s">
        <v>18</v>
      </c>
      <c r="E838" s="1" t="s">
        <v>23</v>
      </c>
      <c r="F838" s="3">
        <v>0</v>
      </c>
      <c r="G838" s="1" t="s">
        <v>37</v>
      </c>
      <c r="H838" s="1" t="s">
        <v>15</v>
      </c>
      <c r="I838" s="1" t="s">
        <v>38</v>
      </c>
      <c r="J838" s="7">
        <v>153</v>
      </c>
      <c r="K838" s="7">
        <v>167.43</v>
      </c>
      <c r="L838" s="8">
        <v>612</v>
      </c>
      <c r="M838" s="8">
        <v>669.72</v>
      </c>
      <c r="N838">
        <v>2</v>
      </c>
      <c r="O838" t="s">
        <v>130</v>
      </c>
      <c r="P838" t="s">
        <v>121</v>
      </c>
    </row>
    <row r="839" spans="1:16" x14ac:dyDescent="0.25">
      <c r="A839" s="10">
        <v>45567</v>
      </c>
      <c r="B839" s="1" t="s">
        <v>88</v>
      </c>
      <c r="C839" s="2">
        <v>5</v>
      </c>
      <c r="D839" s="1" t="s">
        <v>12</v>
      </c>
      <c r="E839" s="1" t="s">
        <v>23</v>
      </c>
      <c r="F839" s="3">
        <v>0.02</v>
      </c>
      <c r="G839" s="1" t="s">
        <v>89</v>
      </c>
      <c r="H839" s="1" t="s">
        <v>33</v>
      </c>
      <c r="I839" s="1" t="s">
        <v>26</v>
      </c>
      <c r="J839" s="7">
        <v>82</v>
      </c>
      <c r="K839" s="7">
        <v>91.98</v>
      </c>
      <c r="L839" s="8">
        <v>410</v>
      </c>
      <c r="M839" s="8">
        <v>459.90000000000003</v>
      </c>
      <c r="N839">
        <v>2</v>
      </c>
      <c r="O839" t="s">
        <v>130</v>
      </c>
      <c r="P839" t="s">
        <v>121</v>
      </c>
    </row>
    <row r="840" spans="1:16" x14ac:dyDescent="0.25">
      <c r="A840" s="10">
        <v>45567</v>
      </c>
      <c r="B840" s="1" t="s">
        <v>80</v>
      </c>
      <c r="C840" s="2">
        <v>12</v>
      </c>
      <c r="D840" s="1" t="s">
        <v>12</v>
      </c>
      <c r="E840" s="1" t="s">
        <v>23</v>
      </c>
      <c r="F840" s="3">
        <v>0</v>
      </c>
      <c r="G840" s="1" t="s">
        <v>81</v>
      </c>
      <c r="H840" s="1" t="s">
        <v>20</v>
      </c>
      <c r="I840" s="1" t="s">
        <v>26</v>
      </c>
      <c r="J840" s="7">
        <v>98</v>
      </c>
      <c r="K840" s="7">
        <v>111.95</v>
      </c>
      <c r="L840" s="8">
        <v>1176</v>
      </c>
      <c r="M840" s="8">
        <v>1343.4</v>
      </c>
      <c r="N840">
        <v>2</v>
      </c>
      <c r="O840" t="s">
        <v>130</v>
      </c>
      <c r="P840" t="s">
        <v>121</v>
      </c>
    </row>
    <row r="841" spans="1:16" x14ac:dyDescent="0.25">
      <c r="A841" s="10">
        <v>45568</v>
      </c>
      <c r="B841" s="1" t="s">
        <v>90</v>
      </c>
      <c r="C841" s="2">
        <v>6</v>
      </c>
      <c r="D841" s="1" t="s">
        <v>13</v>
      </c>
      <c r="E841" s="1" t="s">
        <v>13</v>
      </c>
      <c r="F841" s="3">
        <v>0</v>
      </c>
      <c r="G841" s="1" t="s">
        <v>91</v>
      </c>
      <c r="H841" s="1" t="s">
        <v>20</v>
      </c>
      <c r="I841" s="1" t="s">
        <v>26</v>
      </c>
      <c r="J841" s="7">
        <v>95</v>
      </c>
      <c r="K841" s="7">
        <v>107.43</v>
      </c>
      <c r="L841" s="8">
        <v>570</v>
      </c>
      <c r="M841" s="8">
        <v>644.58000000000004</v>
      </c>
      <c r="N841">
        <v>3</v>
      </c>
      <c r="O841" t="s">
        <v>130</v>
      </c>
      <c r="P841" t="s">
        <v>121</v>
      </c>
    </row>
    <row r="842" spans="1:16" x14ac:dyDescent="0.25">
      <c r="A842" s="10">
        <v>45568</v>
      </c>
      <c r="B842" s="1" t="s">
        <v>76</v>
      </c>
      <c r="C842" s="2">
        <v>15</v>
      </c>
      <c r="D842" s="1" t="s">
        <v>13</v>
      </c>
      <c r="E842" s="1" t="s">
        <v>13</v>
      </c>
      <c r="F842" s="3">
        <v>0</v>
      </c>
      <c r="G842" s="1" t="s">
        <v>77</v>
      </c>
      <c r="H842" s="1" t="s">
        <v>25</v>
      </c>
      <c r="I842" s="1" t="s">
        <v>26</v>
      </c>
      <c r="J842" s="7">
        <v>109</v>
      </c>
      <c r="K842" s="7">
        <v>125.3</v>
      </c>
      <c r="L842" s="8">
        <v>1635</v>
      </c>
      <c r="M842" s="8">
        <v>1879.5</v>
      </c>
      <c r="N842">
        <v>3</v>
      </c>
      <c r="O842" t="s">
        <v>130</v>
      </c>
      <c r="P842" t="s">
        <v>121</v>
      </c>
    </row>
    <row r="843" spans="1:16" x14ac:dyDescent="0.25">
      <c r="A843" s="10">
        <v>45569</v>
      </c>
      <c r="B843" s="1" t="s">
        <v>112</v>
      </c>
      <c r="C843" s="2">
        <v>15</v>
      </c>
      <c r="D843" s="1" t="s">
        <v>12</v>
      </c>
      <c r="E843" s="1" t="s">
        <v>13</v>
      </c>
      <c r="F843" s="3">
        <v>0.08</v>
      </c>
      <c r="G843" s="1" t="s">
        <v>113</v>
      </c>
      <c r="H843" s="1" t="s">
        <v>20</v>
      </c>
      <c r="I843" s="1" t="s">
        <v>16</v>
      </c>
      <c r="J843" s="7">
        <v>10</v>
      </c>
      <c r="K843" s="7">
        <v>10.45</v>
      </c>
      <c r="L843" s="8">
        <v>150</v>
      </c>
      <c r="M843" s="8">
        <v>156.75</v>
      </c>
      <c r="N843">
        <v>4</v>
      </c>
      <c r="O843" t="s">
        <v>130</v>
      </c>
      <c r="P843" t="s">
        <v>121</v>
      </c>
    </row>
    <row r="844" spans="1:16" x14ac:dyDescent="0.25">
      <c r="A844" s="10">
        <v>45571</v>
      </c>
      <c r="B844" s="1" t="s">
        <v>74</v>
      </c>
      <c r="C844" s="2">
        <v>15</v>
      </c>
      <c r="D844" s="1" t="s">
        <v>13</v>
      </c>
      <c r="E844" s="1" t="s">
        <v>13</v>
      </c>
      <c r="F844" s="3">
        <v>0</v>
      </c>
      <c r="G844" s="1" t="s">
        <v>75</v>
      </c>
      <c r="H844" s="1" t="s">
        <v>20</v>
      </c>
      <c r="I844" s="1" t="s">
        <v>21</v>
      </c>
      <c r="J844" s="7">
        <v>49</v>
      </c>
      <c r="K844" s="7">
        <v>55.54</v>
      </c>
      <c r="L844" s="8">
        <v>735</v>
      </c>
      <c r="M844" s="8">
        <v>833.1</v>
      </c>
      <c r="N844">
        <v>6</v>
      </c>
      <c r="O844" t="s">
        <v>130</v>
      </c>
      <c r="P844" t="s">
        <v>121</v>
      </c>
    </row>
    <row r="845" spans="1:16" x14ac:dyDescent="0.25">
      <c r="A845" s="10">
        <v>45572</v>
      </c>
      <c r="B845" s="1" t="s">
        <v>60</v>
      </c>
      <c r="C845" s="2">
        <v>4</v>
      </c>
      <c r="D845" s="1" t="s">
        <v>13</v>
      </c>
      <c r="E845" s="1" t="s">
        <v>23</v>
      </c>
      <c r="F845" s="3">
        <v>0</v>
      </c>
      <c r="G845" s="1" t="s">
        <v>61</v>
      </c>
      <c r="H845" s="1" t="s">
        <v>15</v>
      </c>
      <c r="I845" s="1" t="s">
        <v>26</v>
      </c>
      <c r="J845" s="7">
        <v>89</v>
      </c>
      <c r="K845" s="7">
        <v>98.83</v>
      </c>
      <c r="L845" s="8">
        <v>356</v>
      </c>
      <c r="M845" s="8">
        <v>395.32</v>
      </c>
      <c r="N845">
        <v>7</v>
      </c>
      <c r="O845" t="s">
        <v>130</v>
      </c>
      <c r="P845" t="s">
        <v>121</v>
      </c>
    </row>
    <row r="846" spans="1:16" x14ac:dyDescent="0.25">
      <c r="A846" s="10">
        <v>45573</v>
      </c>
      <c r="B846" s="1" t="s">
        <v>104</v>
      </c>
      <c r="C846" s="2">
        <v>15</v>
      </c>
      <c r="D846" s="1" t="s">
        <v>13</v>
      </c>
      <c r="E846" s="1" t="s">
        <v>13</v>
      </c>
      <c r="F846" s="3">
        <v>0</v>
      </c>
      <c r="G846" s="1" t="s">
        <v>105</v>
      </c>
      <c r="H846" s="1" t="s">
        <v>33</v>
      </c>
      <c r="I846" s="1" t="s">
        <v>26</v>
      </c>
      <c r="J846" s="7">
        <v>98</v>
      </c>
      <c r="K846" s="7">
        <v>106.98</v>
      </c>
      <c r="L846" s="8">
        <v>1470</v>
      </c>
      <c r="M846" s="8">
        <v>1604.7</v>
      </c>
      <c r="N846">
        <v>8</v>
      </c>
      <c r="O846" t="s">
        <v>130</v>
      </c>
      <c r="P846" t="s">
        <v>121</v>
      </c>
    </row>
    <row r="847" spans="1:16" x14ac:dyDescent="0.25">
      <c r="A847" s="10">
        <v>45575</v>
      </c>
      <c r="B847" s="1" t="s">
        <v>36</v>
      </c>
      <c r="C847" s="2">
        <v>15</v>
      </c>
      <c r="D847" s="1" t="s">
        <v>18</v>
      </c>
      <c r="E847" s="1" t="s">
        <v>23</v>
      </c>
      <c r="F847" s="3">
        <v>0</v>
      </c>
      <c r="G847" s="1" t="s">
        <v>37</v>
      </c>
      <c r="H847" s="1" t="s">
        <v>15</v>
      </c>
      <c r="I847" s="1" t="s">
        <v>38</v>
      </c>
      <c r="J847" s="7">
        <v>147</v>
      </c>
      <c r="K847" s="7">
        <v>167.03</v>
      </c>
      <c r="L847" s="8">
        <v>2205</v>
      </c>
      <c r="M847" s="8">
        <v>2505.4499999999998</v>
      </c>
      <c r="N847">
        <v>10</v>
      </c>
      <c r="O847" t="s">
        <v>130</v>
      </c>
      <c r="P847" t="s">
        <v>121</v>
      </c>
    </row>
    <row r="848" spans="1:16" x14ac:dyDescent="0.25">
      <c r="A848" s="10">
        <v>45575</v>
      </c>
      <c r="B848" s="1" t="s">
        <v>39</v>
      </c>
      <c r="C848" s="2">
        <v>5</v>
      </c>
      <c r="D848" s="1" t="s">
        <v>18</v>
      </c>
      <c r="E848" s="1" t="s">
        <v>23</v>
      </c>
      <c r="F848" s="3">
        <v>0</v>
      </c>
      <c r="G848" s="1" t="s">
        <v>40</v>
      </c>
      <c r="H848" s="1" t="s">
        <v>33</v>
      </c>
      <c r="I848" s="1" t="s">
        <v>38</v>
      </c>
      <c r="J848" s="7">
        <v>103</v>
      </c>
      <c r="K848" s="7">
        <v>119.47</v>
      </c>
      <c r="L848" s="8">
        <v>515</v>
      </c>
      <c r="M848" s="8">
        <v>597.35</v>
      </c>
      <c r="N848">
        <v>10</v>
      </c>
      <c r="O848" t="s">
        <v>130</v>
      </c>
      <c r="P848" t="s">
        <v>121</v>
      </c>
    </row>
    <row r="849" spans="1:16" x14ac:dyDescent="0.25">
      <c r="A849" s="10">
        <v>45575</v>
      </c>
      <c r="B849" s="1" t="s">
        <v>70</v>
      </c>
      <c r="C849" s="2">
        <v>9</v>
      </c>
      <c r="D849" s="1" t="s">
        <v>18</v>
      </c>
      <c r="E849" s="1" t="s">
        <v>23</v>
      </c>
      <c r="F849" s="3">
        <v>0</v>
      </c>
      <c r="G849" s="1" t="s">
        <v>71</v>
      </c>
      <c r="H849" s="1" t="s">
        <v>43</v>
      </c>
      <c r="I849" s="1" t="s">
        <v>21</v>
      </c>
      <c r="J849" s="7">
        <v>56</v>
      </c>
      <c r="K849" s="7">
        <v>64.069999999999993</v>
      </c>
      <c r="L849" s="8">
        <v>504</v>
      </c>
      <c r="M849" s="8">
        <v>576.62999999999988</v>
      </c>
      <c r="N849">
        <v>10</v>
      </c>
      <c r="O849" t="s">
        <v>130</v>
      </c>
      <c r="P849" t="s">
        <v>121</v>
      </c>
    </row>
    <row r="850" spans="1:16" x14ac:dyDescent="0.25">
      <c r="A850" s="10">
        <v>45576</v>
      </c>
      <c r="B850" s="1" t="s">
        <v>54</v>
      </c>
      <c r="C850" s="2">
        <v>8</v>
      </c>
      <c r="D850" s="1" t="s">
        <v>13</v>
      </c>
      <c r="E850" s="1" t="s">
        <v>13</v>
      </c>
      <c r="F850" s="3">
        <v>0</v>
      </c>
      <c r="G850" s="1" t="s">
        <v>55</v>
      </c>
      <c r="H850" s="1" t="s">
        <v>43</v>
      </c>
      <c r="I850" s="1" t="s">
        <v>26</v>
      </c>
      <c r="J850" s="7">
        <v>75</v>
      </c>
      <c r="K850" s="7">
        <v>83.12</v>
      </c>
      <c r="L850" s="8">
        <v>600</v>
      </c>
      <c r="M850" s="8">
        <v>664.96</v>
      </c>
      <c r="N850">
        <v>11</v>
      </c>
      <c r="O850" t="s">
        <v>130</v>
      </c>
      <c r="P850" t="s">
        <v>121</v>
      </c>
    </row>
    <row r="851" spans="1:16" x14ac:dyDescent="0.25">
      <c r="A851" s="10">
        <v>45577</v>
      </c>
      <c r="B851" s="1" t="s">
        <v>76</v>
      </c>
      <c r="C851" s="2">
        <v>9</v>
      </c>
      <c r="D851" s="1" t="s">
        <v>13</v>
      </c>
      <c r="E851" s="1" t="s">
        <v>13</v>
      </c>
      <c r="F851" s="3">
        <v>0</v>
      </c>
      <c r="G851" s="1" t="s">
        <v>77</v>
      </c>
      <c r="H851" s="1" t="s">
        <v>25</v>
      </c>
      <c r="I851" s="1" t="s">
        <v>26</v>
      </c>
      <c r="J851" s="7">
        <v>114</v>
      </c>
      <c r="K851" s="7">
        <v>128.80000000000001</v>
      </c>
      <c r="L851" s="8">
        <v>1026</v>
      </c>
      <c r="M851" s="8">
        <v>1159.2</v>
      </c>
      <c r="N851">
        <v>12</v>
      </c>
      <c r="O851" t="s">
        <v>130</v>
      </c>
      <c r="P851" t="s">
        <v>121</v>
      </c>
    </row>
    <row r="852" spans="1:16" x14ac:dyDescent="0.25">
      <c r="A852" s="10">
        <v>45577</v>
      </c>
      <c r="B852" s="1" t="s">
        <v>88</v>
      </c>
      <c r="C852" s="2">
        <v>12</v>
      </c>
      <c r="D852" s="1" t="s">
        <v>18</v>
      </c>
      <c r="E852" s="1" t="s">
        <v>23</v>
      </c>
      <c r="F852" s="3">
        <v>0</v>
      </c>
      <c r="G852" s="1" t="s">
        <v>89</v>
      </c>
      <c r="H852" s="1" t="s">
        <v>33</v>
      </c>
      <c r="I852" s="1" t="s">
        <v>26</v>
      </c>
      <c r="J852" s="7">
        <v>79</v>
      </c>
      <c r="K852" s="7">
        <v>90.61</v>
      </c>
      <c r="L852" s="8">
        <v>948</v>
      </c>
      <c r="M852" s="8">
        <v>1087.32</v>
      </c>
      <c r="N852">
        <v>12</v>
      </c>
      <c r="O852" t="s">
        <v>130</v>
      </c>
      <c r="P852" t="s">
        <v>121</v>
      </c>
    </row>
    <row r="853" spans="1:16" x14ac:dyDescent="0.25">
      <c r="A853" s="10">
        <v>45577</v>
      </c>
      <c r="B853" s="1" t="s">
        <v>54</v>
      </c>
      <c r="C853" s="2">
        <v>12</v>
      </c>
      <c r="D853" s="1" t="s">
        <v>18</v>
      </c>
      <c r="E853" s="1" t="s">
        <v>23</v>
      </c>
      <c r="F853" s="3">
        <v>0</v>
      </c>
      <c r="G853" s="1" t="s">
        <v>55</v>
      </c>
      <c r="H853" s="1" t="s">
        <v>43</v>
      </c>
      <c r="I853" s="1" t="s">
        <v>26</v>
      </c>
      <c r="J853" s="7">
        <v>78</v>
      </c>
      <c r="K853" s="7">
        <v>86.73</v>
      </c>
      <c r="L853" s="8">
        <v>936</v>
      </c>
      <c r="M853" s="8">
        <v>1040.76</v>
      </c>
      <c r="N853">
        <v>12</v>
      </c>
      <c r="O853" t="s">
        <v>130</v>
      </c>
      <c r="P853" t="s">
        <v>121</v>
      </c>
    </row>
    <row r="854" spans="1:16" x14ac:dyDescent="0.25">
      <c r="A854" s="10">
        <v>45578</v>
      </c>
      <c r="B854" s="1" t="s">
        <v>110</v>
      </c>
      <c r="C854" s="2">
        <v>13</v>
      </c>
      <c r="D854" s="1" t="s">
        <v>18</v>
      </c>
      <c r="E854" s="1" t="s">
        <v>13</v>
      </c>
      <c r="F854" s="3">
        <v>0</v>
      </c>
      <c r="G854" s="1" t="s">
        <v>111</v>
      </c>
      <c r="H854" s="1" t="s">
        <v>25</v>
      </c>
      <c r="I854" s="1" t="s">
        <v>26</v>
      </c>
      <c r="J854" s="7">
        <v>121</v>
      </c>
      <c r="K854" s="7">
        <v>135.96</v>
      </c>
      <c r="L854" s="8">
        <v>1573</v>
      </c>
      <c r="M854" s="8">
        <v>1767.48</v>
      </c>
      <c r="N854">
        <v>13</v>
      </c>
      <c r="O854" t="s">
        <v>130</v>
      </c>
      <c r="P854" t="s">
        <v>121</v>
      </c>
    </row>
    <row r="855" spans="1:16" x14ac:dyDescent="0.25">
      <c r="A855" s="10">
        <v>45578</v>
      </c>
      <c r="B855" s="1" t="s">
        <v>78</v>
      </c>
      <c r="C855" s="2">
        <v>14</v>
      </c>
      <c r="D855" s="1" t="s">
        <v>18</v>
      </c>
      <c r="E855" s="1" t="s">
        <v>23</v>
      </c>
      <c r="F855" s="3">
        <v>0</v>
      </c>
      <c r="G855" s="1" t="s">
        <v>79</v>
      </c>
      <c r="H855" s="1" t="s">
        <v>33</v>
      </c>
      <c r="I855" s="1" t="s">
        <v>21</v>
      </c>
      <c r="J855" s="7">
        <v>44</v>
      </c>
      <c r="K855" s="7">
        <v>48.73</v>
      </c>
      <c r="L855" s="8">
        <v>616</v>
      </c>
      <c r="M855" s="8">
        <v>682.21999999999991</v>
      </c>
      <c r="N855">
        <v>13</v>
      </c>
      <c r="O855" t="s">
        <v>130</v>
      </c>
      <c r="P855" t="s">
        <v>121</v>
      </c>
    </row>
    <row r="856" spans="1:16" x14ac:dyDescent="0.25">
      <c r="A856" s="10">
        <v>45579</v>
      </c>
      <c r="B856" s="1" t="s">
        <v>64</v>
      </c>
      <c r="C856" s="2">
        <v>4</v>
      </c>
      <c r="D856" s="1" t="s">
        <v>12</v>
      </c>
      <c r="E856" s="1" t="s">
        <v>13</v>
      </c>
      <c r="F856" s="3">
        <v>0.1</v>
      </c>
      <c r="G856" s="1" t="s">
        <v>65</v>
      </c>
      <c r="H856" s="1" t="s">
        <v>25</v>
      </c>
      <c r="I856" s="1" t="s">
        <v>26</v>
      </c>
      <c r="J856" s="7">
        <v>64</v>
      </c>
      <c r="K856" s="7">
        <v>64.81</v>
      </c>
      <c r="L856" s="8">
        <v>256</v>
      </c>
      <c r="M856" s="8">
        <v>259.24</v>
      </c>
      <c r="N856">
        <v>14</v>
      </c>
      <c r="O856" t="s">
        <v>130</v>
      </c>
      <c r="P856" t="s">
        <v>121</v>
      </c>
    </row>
    <row r="857" spans="1:16" x14ac:dyDescent="0.25">
      <c r="A857" s="10">
        <v>45579</v>
      </c>
      <c r="B857" s="1" t="s">
        <v>31</v>
      </c>
      <c r="C857" s="2">
        <v>9</v>
      </c>
      <c r="D857" s="1" t="s">
        <v>13</v>
      </c>
      <c r="E857" s="1" t="s">
        <v>13</v>
      </c>
      <c r="F857" s="3">
        <v>0</v>
      </c>
      <c r="G857" s="1" t="s">
        <v>32</v>
      </c>
      <c r="H857" s="1" t="s">
        <v>33</v>
      </c>
      <c r="I857" s="1" t="s">
        <v>21</v>
      </c>
      <c r="J857" s="7">
        <v>68</v>
      </c>
      <c r="K857" s="7">
        <v>78.67</v>
      </c>
      <c r="L857" s="8">
        <v>612</v>
      </c>
      <c r="M857" s="8">
        <v>708.03</v>
      </c>
      <c r="N857">
        <v>14</v>
      </c>
      <c r="O857" t="s">
        <v>130</v>
      </c>
      <c r="P857" t="s">
        <v>121</v>
      </c>
    </row>
    <row r="858" spans="1:16" x14ac:dyDescent="0.25">
      <c r="A858" s="10">
        <v>45579</v>
      </c>
      <c r="B858" s="1" t="s">
        <v>78</v>
      </c>
      <c r="C858" s="2">
        <v>10</v>
      </c>
      <c r="D858" s="1" t="s">
        <v>12</v>
      </c>
      <c r="E858" s="1" t="s">
        <v>23</v>
      </c>
      <c r="F858" s="3">
        <v>0</v>
      </c>
      <c r="G858" s="1" t="s">
        <v>79</v>
      </c>
      <c r="H858" s="1" t="s">
        <v>33</v>
      </c>
      <c r="I858" s="1" t="s">
        <v>21</v>
      </c>
      <c r="J858" s="7">
        <v>45</v>
      </c>
      <c r="K858" s="7">
        <v>50.45</v>
      </c>
      <c r="L858" s="8">
        <v>450</v>
      </c>
      <c r="M858" s="8">
        <v>504.5</v>
      </c>
      <c r="N858">
        <v>14</v>
      </c>
      <c r="O858" t="s">
        <v>130</v>
      </c>
      <c r="P858" t="s">
        <v>121</v>
      </c>
    </row>
    <row r="859" spans="1:16" x14ac:dyDescent="0.25">
      <c r="A859" s="10">
        <v>45582</v>
      </c>
      <c r="B859" s="1" t="s">
        <v>74</v>
      </c>
      <c r="C859" s="2">
        <v>1</v>
      </c>
      <c r="D859" s="1" t="s">
        <v>18</v>
      </c>
      <c r="E859" s="1" t="s">
        <v>23</v>
      </c>
      <c r="F859" s="3">
        <v>0</v>
      </c>
      <c r="G859" s="1" t="s">
        <v>75</v>
      </c>
      <c r="H859" s="1" t="s">
        <v>20</v>
      </c>
      <c r="I859" s="1" t="s">
        <v>21</v>
      </c>
      <c r="J859" s="7">
        <v>49</v>
      </c>
      <c r="K859" s="7">
        <v>56.63</v>
      </c>
      <c r="L859" s="8">
        <v>49</v>
      </c>
      <c r="M859" s="8">
        <v>56.63</v>
      </c>
      <c r="N859">
        <v>17</v>
      </c>
      <c r="O859" t="s">
        <v>130</v>
      </c>
      <c r="P859" t="s">
        <v>121</v>
      </c>
    </row>
    <row r="860" spans="1:16" x14ac:dyDescent="0.25">
      <c r="A860" s="10">
        <v>45582</v>
      </c>
      <c r="B860" s="1" t="s">
        <v>54</v>
      </c>
      <c r="C860" s="2">
        <v>4</v>
      </c>
      <c r="D860" s="1" t="s">
        <v>13</v>
      </c>
      <c r="E860" s="1" t="s">
        <v>23</v>
      </c>
      <c r="F860" s="3">
        <v>0</v>
      </c>
      <c r="G860" s="1" t="s">
        <v>55</v>
      </c>
      <c r="H860" s="1" t="s">
        <v>43</v>
      </c>
      <c r="I860" s="1" t="s">
        <v>26</v>
      </c>
      <c r="J860" s="7">
        <v>73</v>
      </c>
      <c r="K860" s="7">
        <v>80.819999999999993</v>
      </c>
      <c r="L860" s="8">
        <v>292</v>
      </c>
      <c r="M860" s="8">
        <v>323.27999999999997</v>
      </c>
      <c r="N860">
        <v>17</v>
      </c>
      <c r="O860" t="s">
        <v>130</v>
      </c>
      <c r="P860" t="s">
        <v>121</v>
      </c>
    </row>
    <row r="861" spans="1:16" x14ac:dyDescent="0.25">
      <c r="A861" s="10">
        <v>45584</v>
      </c>
      <c r="B861" s="1" t="s">
        <v>11</v>
      </c>
      <c r="C861" s="2">
        <v>2</v>
      </c>
      <c r="D861" s="1" t="s">
        <v>12</v>
      </c>
      <c r="E861" s="1" t="s">
        <v>23</v>
      </c>
      <c r="F861" s="3">
        <v>0</v>
      </c>
      <c r="G861" s="1" t="s">
        <v>14</v>
      </c>
      <c r="H861" s="1" t="s">
        <v>15</v>
      </c>
      <c r="I861" s="1" t="s">
        <v>16</v>
      </c>
      <c r="J861" s="7">
        <v>7</v>
      </c>
      <c r="K861" s="7">
        <v>8.02</v>
      </c>
      <c r="L861" s="8">
        <v>14</v>
      </c>
      <c r="M861" s="8">
        <v>16.04</v>
      </c>
      <c r="N861">
        <v>19</v>
      </c>
      <c r="O861" t="s">
        <v>130</v>
      </c>
      <c r="P861" t="s">
        <v>121</v>
      </c>
    </row>
    <row r="862" spans="1:16" x14ac:dyDescent="0.25">
      <c r="A862" s="10">
        <v>45585</v>
      </c>
      <c r="B862" s="1" t="s">
        <v>31</v>
      </c>
      <c r="C862" s="2">
        <v>2</v>
      </c>
      <c r="D862" s="1" t="s">
        <v>18</v>
      </c>
      <c r="E862" s="1" t="s">
        <v>13</v>
      </c>
      <c r="F862" s="3">
        <v>0</v>
      </c>
      <c r="G862" s="1" t="s">
        <v>32</v>
      </c>
      <c r="H862" s="1" t="s">
        <v>33</v>
      </c>
      <c r="I862" s="1" t="s">
        <v>21</v>
      </c>
      <c r="J862" s="7">
        <v>68</v>
      </c>
      <c r="K862" s="7">
        <v>77.17</v>
      </c>
      <c r="L862" s="8">
        <v>136</v>
      </c>
      <c r="M862" s="8">
        <v>154.34</v>
      </c>
      <c r="N862">
        <v>20</v>
      </c>
      <c r="O862" t="s">
        <v>130</v>
      </c>
      <c r="P862" t="s">
        <v>121</v>
      </c>
    </row>
    <row r="863" spans="1:16" x14ac:dyDescent="0.25">
      <c r="A863" s="10">
        <v>45586</v>
      </c>
      <c r="B863" s="1" t="s">
        <v>46</v>
      </c>
      <c r="C863" s="2">
        <v>10</v>
      </c>
      <c r="D863" s="1" t="s">
        <v>13</v>
      </c>
      <c r="E863" s="1" t="s">
        <v>13</v>
      </c>
      <c r="F863" s="3">
        <v>0</v>
      </c>
      <c r="G863" s="1" t="s">
        <v>47</v>
      </c>
      <c r="H863" s="1" t="s">
        <v>15</v>
      </c>
      <c r="I863" s="1" t="s">
        <v>16</v>
      </c>
      <c r="J863" s="7">
        <v>9</v>
      </c>
      <c r="K863" s="7">
        <v>10.6</v>
      </c>
      <c r="L863" s="8">
        <v>90</v>
      </c>
      <c r="M863" s="8">
        <v>106</v>
      </c>
      <c r="N863">
        <v>21</v>
      </c>
      <c r="O863" t="s">
        <v>130</v>
      </c>
      <c r="P863" t="s">
        <v>121</v>
      </c>
    </row>
    <row r="864" spans="1:16" x14ac:dyDescent="0.25">
      <c r="A864" s="10">
        <v>45586</v>
      </c>
      <c r="B864" s="1" t="s">
        <v>41</v>
      </c>
      <c r="C864" s="2">
        <v>7</v>
      </c>
      <c r="D864" s="1" t="s">
        <v>13</v>
      </c>
      <c r="E864" s="1" t="s">
        <v>13</v>
      </c>
      <c r="F864" s="3">
        <v>0</v>
      </c>
      <c r="G864" s="1" t="s">
        <v>42</v>
      </c>
      <c r="H864" s="1" t="s">
        <v>43</v>
      </c>
      <c r="I864" s="1" t="s">
        <v>26</v>
      </c>
      <c r="J864" s="7">
        <v>80</v>
      </c>
      <c r="K864" s="7">
        <v>93.81</v>
      </c>
      <c r="L864" s="8">
        <v>560</v>
      </c>
      <c r="M864" s="8">
        <v>656.67000000000007</v>
      </c>
      <c r="N864">
        <v>21</v>
      </c>
      <c r="O864" t="s">
        <v>130</v>
      </c>
      <c r="P864" t="s">
        <v>121</v>
      </c>
    </row>
    <row r="865" spans="1:16" x14ac:dyDescent="0.25">
      <c r="A865" s="10">
        <v>45587</v>
      </c>
      <c r="B865" s="1" t="s">
        <v>76</v>
      </c>
      <c r="C865" s="2">
        <v>3</v>
      </c>
      <c r="D865" s="1" t="s">
        <v>13</v>
      </c>
      <c r="E865" s="1" t="s">
        <v>13</v>
      </c>
      <c r="F865" s="3">
        <v>0</v>
      </c>
      <c r="G865" s="1" t="s">
        <v>77</v>
      </c>
      <c r="H865" s="1" t="s">
        <v>25</v>
      </c>
      <c r="I865" s="1" t="s">
        <v>26</v>
      </c>
      <c r="J865" s="7">
        <v>111</v>
      </c>
      <c r="K865" s="7">
        <v>121.35</v>
      </c>
      <c r="L865" s="8">
        <v>333</v>
      </c>
      <c r="M865" s="8">
        <v>364.04999999999995</v>
      </c>
      <c r="N865">
        <v>22</v>
      </c>
      <c r="O865" t="s">
        <v>130</v>
      </c>
      <c r="P865" t="s">
        <v>121</v>
      </c>
    </row>
    <row r="866" spans="1:16" x14ac:dyDescent="0.25">
      <c r="A866" s="10">
        <v>45587</v>
      </c>
      <c r="B866" s="1" t="s">
        <v>84</v>
      </c>
      <c r="C866" s="2">
        <v>14</v>
      </c>
      <c r="D866" s="1" t="s">
        <v>18</v>
      </c>
      <c r="E866" s="1" t="s">
        <v>13</v>
      </c>
      <c r="F866" s="3">
        <v>0</v>
      </c>
      <c r="G866" s="1" t="s">
        <v>85</v>
      </c>
      <c r="H866" s="1" t="s">
        <v>33</v>
      </c>
      <c r="I866" s="1" t="s">
        <v>38</v>
      </c>
      <c r="J866" s="7">
        <v>127</v>
      </c>
      <c r="K866" s="7">
        <v>141.15</v>
      </c>
      <c r="L866" s="8">
        <v>1778</v>
      </c>
      <c r="M866" s="8">
        <v>1976.1000000000001</v>
      </c>
      <c r="N866">
        <v>22</v>
      </c>
      <c r="O866" t="s">
        <v>130</v>
      </c>
      <c r="P866" t="s">
        <v>121</v>
      </c>
    </row>
    <row r="867" spans="1:16" x14ac:dyDescent="0.25">
      <c r="A867" s="10">
        <v>45589</v>
      </c>
      <c r="B867" s="1" t="s">
        <v>39</v>
      </c>
      <c r="C867" s="2">
        <v>10</v>
      </c>
      <c r="D867" s="1" t="s">
        <v>12</v>
      </c>
      <c r="E867" s="1" t="s">
        <v>23</v>
      </c>
      <c r="F867" s="3">
        <v>0.08</v>
      </c>
      <c r="G867" s="1" t="s">
        <v>40</v>
      </c>
      <c r="H867" s="1" t="s">
        <v>33</v>
      </c>
      <c r="I867" s="1" t="s">
        <v>38</v>
      </c>
      <c r="J867" s="7">
        <v>108</v>
      </c>
      <c r="K867" s="7">
        <v>115.11</v>
      </c>
      <c r="L867" s="8">
        <v>1080</v>
      </c>
      <c r="M867" s="8">
        <v>1151.0999999999999</v>
      </c>
      <c r="N867">
        <v>24</v>
      </c>
      <c r="O867" t="s">
        <v>130</v>
      </c>
      <c r="P867" t="s">
        <v>121</v>
      </c>
    </row>
    <row r="868" spans="1:16" x14ac:dyDescent="0.25">
      <c r="A868" s="10">
        <v>45590</v>
      </c>
      <c r="B868" s="1" t="s">
        <v>88</v>
      </c>
      <c r="C868" s="2">
        <v>10</v>
      </c>
      <c r="D868" s="1" t="s">
        <v>18</v>
      </c>
      <c r="E868" s="1" t="s">
        <v>23</v>
      </c>
      <c r="F868" s="3">
        <v>0</v>
      </c>
      <c r="G868" s="1" t="s">
        <v>89</v>
      </c>
      <c r="H868" s="1" t="s">
        <v>33</v>
      </c>
      <c r="I868" s="1" t="s">
        <v>26</v>
      </c>
      <c r="J868" s="7">
        <v>79</v>
      </c>
      <c r="K868" s="7">
        <v>88.66</v>
      </c>
      <c r="L868" s="8">
        <v>790</v>
      </c>
      <c r="M868" s="8">
        <v>886.59999999999991</v>
      </c>
      <c r="N868">
        <v>25</v>
      </c>
      <c r="O868" t="s">
        <v>130</v>
      </c>
      <c r="P868" t="s">
        <v>121</v>
      </c>
    </row>
    <row r="869" spans="1:16" x14ac:dyDescent="0.25">
      <c r="A869" s="10">
        <v>45592</v>
      </c>
      <c r="B869" s="1" t="s">
        <v>74</v>
      </c>
      <c r="C869" s="2">
        <v>8</v>
      </c>
      <c r="D869" s="1" t="s">
        <v>13</v>
      </c>
      <c r="E869" s="1" t="s">
        <v>13</v>
      </c>
      <c r="F869" s="3">
        <v>0</v>
      </c>
      <c r="G869" s="1" t="s">
        <v>75</v>
      </c>
      <c r="H869" s="1" t="s">
        <v>20</v>
      </c>
      <c r="I869" s="1" t="s">
        <v>21</v>
      </c>
      <c r="J869" s="7">
        <v>51</v>
      </c>
      <c r="K869" s="7">
        <v>58.79</v>
      </c>
      <c r="L869" s="8">
        <v>408</v>
      </c>
      <c r="M869" s="8">
        <v>470.32</v>
      </c>
      <c r="N869">
        <v>27</v>
      </c>
      <c r="O869" t="s">
        <v>130</v>
      </c>
      <c r="P869" t="s">
        <v>121</v>
      </c>
    </row>
    <row r="870" spans="1:16" x14ac:dyDescent="0.25">
      <c r="A870" s="10">
        <v>45594</v>
      </c>
      <c r="B870" s="1" t="s">
        <v>94</v>
      </c>
      <c r="C870" s="2">
        <v>15</v>
      </c>
      <c r="D870" s="1" t="s">
        <v>13</v>
      </c>
      <c r="E870" s="1" t="s">
        <v>13</v>
      </c>
      <c r="F870" s="3">
        <v>0</v>
      </c>
      <c r="G870" s="1" t="s">
        <v>95</v>
      </c>
      <c r="H870" s="1" t="s">
        <v>20</v>
      </c>
      <c r="I870" s="1" t="s">
        <v>26</v>
      </c>
      <c r="J870" s="7">
        <v>61</v>
      </c>
      <c r="K870" s="7">
        <v>69.650000000000006</v>
      </c>
      <c r="L870" s="8">
        <v>915</v>
      </c>
      <c r="M870" s="8">
        <v>1044.75</v>
      </c>
      <c r="N870">
        <v>29</v>
      </c>
      <c r="O870" t="s">
        <v>130</v>
      </c>
      <c r="P870" t="s">
        <v>121</v>
      </c>
    </row>
    <row r="871" spans="1:16" x14ac:dyDescent="0.25">
      <c r="A871" s="10">
        <v>45595</v>
      </c>
      <c r="B871" s="1" t="s">
        <v>52</v>
      </c>
      <c r="C871" s="2">
        <v>13</v>
      </c>
      <c r="D871" s="1" t="s">
        <v>18</v>
      </c>
      <c r="E871" s="1" t="s">
        <v>23</v>
      </c>
      <c r="F871" s="3">
        <v>0</v>
      </c>
      <c r="G871" s="1" t="s">
        <v>53</v>
      </c>
      <c r="H871" s="1" t="s">
        <v>25</v>
      </c>
      <c r="I871" s="1" t="s">
        <v>21</v>
      </c>
      <c r="J871" s="7">
        <v>62</v>
      </c>
      <c r="K871" s="7">
        <v>71.31</v>
      </c>
      <c r="L871" s="8">
        <v>806</v>
      </c>
      <c r="M871" s="8">
        <v>927.03</v>
      </c>
      <c r="N871">
        <v>30</v>
      </c>
      <c r="O871" t="s">
        <v>130</v>
      </c>
      <c r="P871" t="s">
        <v>121</v>
      </c>
    </row>
    <row r="872" spans="1:16" x14ac:dyDescent="0.25">
      <c r="A872" s="10">
        <v>45596</v>
      </c>
      <c r="B872" s="1" t="s">
        <v>96</v>
      </c>
      <c r="C872" s="2">
        <v>4</v>
      </c>
      <c r="D872" s="1" t="s">
        <v>13</v>
      </c>
      <c r="E872" s="1" t="s">
        <v>23</v>
      </c>
      <c r="F872" s="3">
        <v>0</v>
      </c>
      <c r="G872" s="1" t="s">
        <v>97</v>
      </c>
      <c r="H872" s="1" t="s">
        <v>20</v>
      </c>
      <c r="I872" s="1" t="s">
        <v>21</v>
      </c>
      <c r="J872" s="7">
        <v>58</v>
      </c>
      <c r="K872" s="7">
        <v>66.44</v>
      </c>
      <c r="L872" s="8">
        <v>232</v>
      </c>
      <c r="M872" s="8">
        <v>265.76</v>
      </c>
      <c r="N872">
        <v>31</v>
      </c>
      <c r="O872" t="s">
        <v>130</v>
      </c>
      <c r="P872" t="s">
        <v>121</v>
      </c>
    </row>
    <row r="873" spans="1:16" x14ac:dyDescent="0.25">
      <c r="A873" s="10">
        <v>45596</v>
      </c>
      <c r="B873" s="1" t="s">
        <v>31</v>
      </c>
      <c r="C873" s="2">
        <v>12</v>
      </c>
      <c r="D873" s="1" t="s">
        <v>13</v>
      </c>
      <c r="E873" s="1" t="s">
        <v>23</v>
      </c>
      <c r="F873" s="3">
        <v>0</v>
      </c>
      <c r="G873" s="1" t="s">
        <v>32</v>
      </c>
      <c r="H873" s="1" t="s">
        <v>33</v>
      </c>
      <c r="I873" s="1" t="s">
        <v>21</v>
      </c>
      <c r="J873" s="7">
        <v>67</v>
      </c>
      <c r="K873" s="7">
        <v>76.349999999999994</v>
      </c>
      <c r="L873" s="8">
        <v>804</v>
      </c>
      <c r="M873" s="8">
        <v>916.19999999999993</v>
      </c>
      <c r="N873">
        <v>31</v>
      </c>
      <c r="O873" t="s">
        <v>130</v>
      </c>
      <c r="P873" t="s">
        <v>121</v>
      </c>
    </row>
    <row r="874" spans="1:16" x14ac:dyDescent="0.25">
      <c r="A874" s="10">
        <v>45597</v>
      </c>
      <c r="B874" s="1" t="s">
        <v>68</v>
      </c>
      <c r="C874" s="2">
        <v>13</v>
      </c>
      <c r="D874" s="1" t="s">
        <v>13</v>
      </c>
      <c r="E874" s="1" t="s">
        <v>13</v>
      </c>
      <c r="F874" s="3">
        <v>0</v>
      </c>
      <c r="G874" s="1" t="s">
        <v>69</v>
      </c>
      <c r="H874" s="1" t="s">
        <v>15</v>
      </c>
      <c r="I874" s="1" t="s">
        <v>38</v>
      </c>
      <c r="J874" s="7">
        <v>137</v>
      </c>
      <c r="K874" s="7">
        <v>159.03</v>
      </c>
      <c r="L874" s="8">
        <v>1781</v>
      </c>
      <c r="M874" s="8">
        <v>2067.39</v>
      </c>
      <c r="N874">
        <v>1</v>
      </c>
      <c r="O874" t="s">
        <v>131</v>
      </c>
      <c r="P874" t="s">
        <v>121</v>
      </c>
    </row>
    <row r="875" spans="1:16" x14ac:dyDescent="0.25">
      <c r="A875" s="10">
        <v>45599</v>
      </c>
      <c r="B875" s="1" t="s">
        <v>108</v>
      </c>
      <c r="C875" s="2">
        <v>12</v>
      </c>
      <c r="D875" s="1" t="s">
        <v>12</v>
      </c>
      <c r="E875" s="1" t="s">
        <v>23</v>
      </c>
      <c r="F875" s="3">
        <v>0</v>
      </c>
      <c r="G875" s="1" t="s">
        <v>109</v>
      </c>
      <c r="H875" s="1" t="s">
        <v>43</v>
      </c>
      <c r="I875" s="1" t="s">
        <v>26</v>
      </c>
      <c r="J875" s="7">
        <v>69</v>
      </c>
      <c r="K875" s="7">
        <v>78.489999999999995</v>
      </c>
      <c r="L875" s="8">
        <v>828</v>
      </c>
      <c r="M875" s="8">
        <v>941.87999999999988</v>
      </c>
      <c r="N875">
        <v>3</v>
      </c>
      <c r="O875" t="s">
        <v>131</v>
      </c>
      <c r="P875" t="s">
        <v>121</v>
      </c>
    </row>
    <row r="876" spans="1:16" x14ac:dyDescent="0.25">
      <c r="A876" s="10">
        <v>45601</v>
      </c>
      <c r="B876" s="1" t="s">
        <v>106</v>
      </c>
      <c r="C876" s="2">
        <v>10</v>
      </c>
      <c r="D876" s="1" t="s">
        <v>13</v>
      </c>
      <c r="E876" s="1" t="s">
        <v>13</v>
      </c>
      <c r="F876" s="3">
        <v>0</v>
      </c>
      <c r="G876" s="1" t="s">
        <v>107</v>
      </c>
      <c r="H876" s="1" t="s">
        <v>25</v>
      </c>
      <c r="I876" s="1" t="s">
        <v>21</v>
      </c>
      <c r="J876" s="7">
        <v>41</v>
      </c>
      <c r="K876" s="7">
        <v>44.77</v>
      </c>
      <c r="L876" s="8">
        <v>410</v>
      </c>
      <c r="M876" s="8">
        <v>447.70000000000005</v>
      </c>
      <c r="N876">
        <v>5</v>
      </c>
      <c r="O876" t="s">
        <v>131</v>
      </c>
      <c r="P876" t="s">
        <v>121</v>
      </c>
    </row>
    <row r="877" spans="1:16" x14ac:dyDescent="0.25">
      <c r="A877" s="10">
        <v>45603</v>
      </c>
      <c r="B877" s="1" t="s">
        <v>36</v>
      </c>
      <c r="C877" s="2">
        <v>10</v>
      </c>
      <c r="D877" s="1" t="s">
        <v>13</v>
      </c>
      <c r="E877" s="1" t="s">
        <v>13</v>
      </c>
      <c r="F877" s="3">
        <v>0</v>
      </c>
      <c r="G877" s="1" t="s">
        <v>37</v>
      </c>
      <c r="H877" s="1" t="s">
        <v>15</v>
      </c>
      <c r="I877" s="1" t="s">
        <v>38</v>
      </c>
      <c r="J877" s="7">
        <v>150</v>
      </c>
      <c r="K877" s="7">
        <v>175.59</v>
      </c>
      <c r="L877" s="8">
        <v>1500</v>
      </c>
      <c r="M877" s="8">
        <v>1755.9</v>
      </c>
      <c r="N877">
        <v>7</v>
      </c>
      <c r="O877" t="s">
        <v>131</v>
      </c>
      <c r="P877" t="s">
        <v>121</v>
      </c>
    </row>
    <row r="878" spans="1:16" x14ac:dyDescent="0.25">
      <c r="A878" s="10">
        <v>45603</v>
      </c>
      <c r="B878" s="1" t="s">
        <v>36</v>
      </c>
      <c r="C878" s="2">
        <v>8</v>
      </c>
      <c r="D878" s="1" t="s">
        <v>13</v>
      </c>
      <c r="E878" s="1" t="s">
        <v>13</v>
      </c>
      <c r="F878" s="3">
        <v>0</v>
      </c>
      <c r="G878" s="1" t="s">
        <v>37</v>
      </c>
      <c r="H878" s="1" t="s">
        <v>15</v>
      </c>
      <c r="I878" s="1" t="s">
        <v>38</v>
      </c>
      <c r="J878" s="7">
        <v>146</v>
      </c>
      <c r="K878" s="7">
        <v>167.57</v>
      </c>
      <c r="L878" s="8">
        <v>1168</v>
      </c>
      <c r="M878" s="8">
        <v>1340.56</v>
      </c>
      <c r="N878">
        <v>7</v>
      </c>
      <c r="O878" t="s">
        <v>131</v>
      </c>
      <c r="P878" t="s">
        <v>121</v>
      </c>
    </row>
    <row r="879" spans="1:16" x14ac:dyDescent="0.25">
      <c r="A879" s="10">
        <v>45603</v>
      </c>
      <c r="B879" s="1" t="s">
        <v>102</v>
      </c>
      <c r="C879" s="2">
        <v>11</v>
      </c>
      <c r="D879" s="1" t="s">
        <v>13</v>
      </c>
      <c r="E879" s="1" t="s">
        <v>23</v>
      </c>
      <c r="F879" s="3">
        <v>0</v>
      </c>
      <c r="G879" s="1" t="s">
        <v>103</v>
      </c>
      <c r="H879" s="1" t="s">
        <v>15</v>
      </c>
      <c r="I879" s="1" t="s">
        <v>38</v>
      </c>
      <c r="J879" s="7">
        <v>151</v>
      </c>
      <c r="K879" s="7">
        <v>168.38</v>
      </c>
      <c r="L879" s="8">
        <v>1661</v>
      </c>
      <c r="M879" s="8">
        <v>1852.1799999999998</v>
      </c>
      <c r="N879">
        <v>7</v>
      </c>
      <c r="O879" t="s">
        <v>131</v>
      </c>
      <c r="P879" t="s">
        <v>121</v>
      </c>
    </row>
    <row r="880" spans="1:16" x14ac:dyDescent="0.25">
      <c r="A880" s="10">
        <v>45603</v>
      </c>
      <c r="B880" s="1" t="s">
        <v>17</v>
      </c>
      <c r="C880" s="2">
        <v>8</v>
      </c>
      <c r="D880" s="1" t="s">
        <v>18</v>
      </c>
      <c r="E880" s="1" t="s">
        <v>23</v>
      </c>
      <c r="F880" s="3">
        <v>0</v>
      </c>
      <c r="G880" s="1" t="s">
        <v>19</v>
      </c>
      <c r="H880" s="1" t="s">
        <v>20</v>
      </c>
      <c r="I880" s="1" t="s">
        <v>21</v>
      </c>
      <c r="J880" s="7">
        <v>52</v>
      </c>
      <c r="K880" s="7">
        <v>57.17</v>
      </c>
      <c r="L880" s="8">
        <v>416</v>
      </c>
      <c r="M880" s="8">
        <v>457.36</v>
      </c>
      <c r="N880">
        <v>7</v>
      </c>
      <c r="O880" t="s">
        <v>131</v>
      </c>
      <c r="P880" t="s">
        <v>121</v>
      </c>
    </row>
    <row r="881" spans="1:16" x14ac:dyDescent="0.25">
      <c r="A881" s="10">
        <v>45603</v>
      </c>
      <c r="B881" s="1" t="s">
        <v>70</v>
      </c>
      <c r="C881" s="2">
        <v>13</v>
      </c>
      <c r="D881" s="1" t="s">
        <v>13</v>
      </c>
      <c r="E881" s="1" t="s">
        <v>23</v>
      </c>
      <c r="F881" s="3">
        <v>0</v>
      </c>
      <c r="G881" s="1" t="s">
        <v>71</v>
      </c>
      <c r="H881" s="1" t="s">
        <v>43</v>
      </c>
      <c r="I881" s="1" t="s">
        <v>21</v>
      </c>
      <c r="J881" s="7">
        <v>55</v>
      </c>
      <c r="K881" s="7">
        <v>59.87</v>
      </c>
      <c r="L881" s="8">
        <v>715</v>
      </c>
      <c r="M881" s="8">
        <v>778.31</v>
      </c>
      <c r="N881">
        <v>7</v>
      </c>
      <c r="O881" t="s">
        <v>131</v>
      </c>
      <c r="P881" t="s">
        <v>121</v>
      </c>
    </row>
    <row r="882" spans="1:16" x14ac:dyDescent="0.25">
      <c r="A882" s="10">
        <v>45604</v>
      </c>
      <c r="B882" s="1" t="s">
        <v>66</v>
      </c>
      <c r="C882" s="2">
        <v>2</v>
      </c>
      <c r="D882" s="1" t="s">
        <v>18</v>
      </c>
      <c r="E882" s="1" t="s">
        <v>23</v>
      </c>
      <c r="F882" s="3">
        <v>0</v>
      </c>
      <c r="G882" s="1" t="s">
        <v>67</v>
      </c>
      <c r="H882" s="1" t="s">
        <v>15</v>
      </c>
      <c r="I882" s="1" t="s">
        <v>21</v>
      </c>
      <c r="J882" s="7">
        <v>67</v>
      </c>
      <c r="K882" s="7">
        <v>76.239999999999995</v>
      </c>
      <c r="L882" s="8">
        <v>134</v>
      </c>
      <c r="M882" s="8">
        <v>152.47999999999999</v>
      </c>
      <c r="N882">
        <v>8</v>
      </c>
      <c r="O882" t="s">
        <v>131</v>
      </c>
      <c r="P882" t="s">
        <v>121</v>
      </c>
    </row>
    <row r="883" spans="1:16" x14ac:dyDescent="0.25">
      <c r="A883" s="10">
        <v>45604</v>
      </c>
      <c r="B883" s="1" t="s">
        <v>36</v>
      </c>
      <c r="C883" s="2">
        <v>14</v>
      </c>
      <c r="D883" s="1" t="s">
        <v>13</v>
      </c>
      <c r="E883" s="1" t="s">
        <v>23</v>
      </c>
      <c r="F883" s="3">
        <v>0</v>
      </c>
      <c r="G883" s="1" t="s">
        <v>37</v>
      </c>
      <c r="H883" s="1" t="s">
        <v>15</v>
      </c>
      <c r="I883" s="1" t="s">
        <v>38</v>
      </c>
      <c r="J883" s="7">
        <v>149</v>
      </c>
      <c r="K883" s="7">
        <v>167.05</v>
      </c>
      <c r="L883" s="8">
        <v>2086</v>
      </c>
      <c r="M883" s="8">
        <v>2338.7000000000003</v>
      </c>
      <c r="N883">
        <v>8</v>
      </c>
      <c r="O883" t="s">
        <v>131</v>
      </c>
      <c r="P883" t="s">
        <v>121</v>
      </c>
    </row>
    <row r="884" spans="1:16" x14ac:dyDescent="0.25">
      <c r="A884" s="10">
        <v>45606</v>
      </c>
      <c r="B884" s="1" t="s">
        <v>31</v>
      </c>
      <c r="C884" s="2">
        <v>13</v>
      </c>
      <c r="D884" s="1" t="s">
        <v>13</v>
      </c>
      <c r="E884" s="1" t="s">
        <v>13</v>
      </c>
      <c r="F884" s="3">
        <v>0</v>
      </c>
      <c r="G884" s="1" t="s">
        <v>32</v>
      </c>
      <c r="H884" s="1" t="s">
        <v>33</v>
      </c>
      <c r="I884" s="1" t="s">
        <v>21</v>
      </c>
      <c r="J884" s="7">
        <v>66</v>
      </c>
      <c r="K884" s="7">
        <v>74.23</v>
      </c>
      <c r="L884" s="8">
        <v>858</v>
      </c>
      <c r="M884" s="8">
        <v>964.99</v>
      </c>
      <c r="N884">
        <v>10</v>
      </c>
      <c r="O884" t="s">
        <v>131</v>
      </c>
      <c r="P884" t="s">
        <v>121</v>
      </c>
    </row>
    <row r="885" spans="1:16" x14ac:dyDescent="0.25">
      <c r="A885" s="10">
        <v>45607</v>
      </c>
      <c r="B885" s="1" t="s">
        <v>74</v>
      </c>
      <c r="C885" s="2">
        <v>6</v>
      </c>
      <c r="D885" s="1" t="s">
        <v>13</v>
      </c>
      <c r="E885" s="1" t="s">
        <v>23</v>
      </c>
      <c r="F885" s="3">
        <v>0</v>
      </c>
      <c r="G885" s="1" t="s">
        <v>75</v>
      </c>
      <c r="H885" s="1" t="s">
        <v>20</v>
      </c>
      <c r="I885" s="1" t="s">
        <v>21</v>
      </c>
      <c r="J885" s="7">
        <v>50</v>
      </c>
      <c r="K885" s="7">
        <v>57.76</v>
      </c>
      <c r="L885" s="8">
        <v>300</v>
      </c>
      <c r="M885" s="8">
        <v>346.56</v>
      </c>
      <c r="N885">
        <v>11</v>
      </c>
      <c r="O885" t="s">
        <v>131</v>
      </c>
      <c r="P885" t="s">
        <v>121</v>
      </c>
    </row>
    <row r="886" spans="1:16" x14ac:dyDescent="0.25">
      <c r="A886" s="10">
        <v>45609</v>
      </c>
      <c r="B886" s="1" t="s">
        <v>112</v>
      </c>
      <c r="C886" s="2">
        <v>13</v>
      </c>
      <c r="D886" s="1" t="s">
        <v>12</v>
      </c>
      <c r="E886" s="1" t="s">
        <v>13</v>
      </c>
      <c r="F886" s="3">
        <v>0</v>
      </c>
      <c r="G886" s="1" t="s">
        <v>113</v>
      </c>
      <c r="H886" s="1" t="s">
        <v>20</v>
      </c>
      <c r="I886" s="1" t="s">
        <v>16</v>
      </c>
      <c r="J886" s="7">
        <v>9</v>
      </c>
      <c r="K886" s="7">
        <v>10.49</v>
      </c>
      <c r="L886" s="8">
        <v>117</v>
      </c>
      <c r="M886" s="8">
        <v>136.37</v>
      </c>
      <c r="N886">
        <v>13</v>
      </c>
      <c r="O886" t="s">
        <v>131</v>
      </c>
      <c r="P886" t="s">
        <v>121</v>
      </c>
    </row>
    <row r="887" spans="1:16" x14ac:dyDescent="0.25">
      <c r="A887" s="10">
        <v>45610</v>
      </c>
      <c r="B887" s="1" t="s">
        <v>98</v>
      </c>
      <c r="C887" s="2">
        <v>13</v>
      </c>
      <c r="D887" s="1" t="s">
        <v>12</v>
      </c>
      <c r="E887" s="1" t="s">
        <v>13</v>
      </c>
      <c r="F887" s="3">
        <v>0.08</v>
      </c>
      <c r="G887" s="1" t="s">
        <v>99</v>
      </c>
      <c r="H887" s="1" t="s">
        <v>43</v>
      </c>
      <c r="I887" s="1" t="s">
        <v>21</v>
      </c>
      <c r="J887" s="7">
        <v>47</v>
      </c>
      <c r="K887" s="7">
        <v>47.84</v>
      </c>
      <c r="L887" s="8">
        <v>611</v>
      </c>
      <c r="M887" s="8">
        <v>621.92000000000007</v>
      </c>
      <c r="N887">
        <v>14</v>
      </c>
      <c r="O887" t="s">
        <v>131</v>
      </c>
      <c r="P887" t="s">
        <v>121</v>
      </c>
    </row>
    <row r="888" spans="1:16" x14ac:dyDescent="0.25">
      <c r="A888" s="10">
        <v>45610</v>
      </c>
      <c r="B888" s="1" t="s">
        <v>48</v>
      </c>
      <c r="C888" s="2">
        <v>1</v>
      </c>
      <c r="D888" s="1" t="s">
        <v>13</v>
      </c>
      <c r="E888" s="1" t="s">
        <v>23</v>
      </c>
      <c r="F888" s="3">
        <v>0</v>
      </c>
      <c r="G888" s="1" t="s">
        <v>49</v>
      </c>
      <c r="H888" s="1" t="s">
        <v>15</v>
      </c>
      <c r="I888" s="1" t="s">
        <v>26</v>
      </c>
      <c r="J888" s="7">
        <v>71</v>
      </c>
      <c r="K888" s="7">
        <v>81.48</v>
      </c>
      <c r="L888" s="8">
        <v>71</v>
      </c>
      <c r="M888" s="8">
        <v>81.48</v>
      </c>
      <c r="N888">
        <v>14</v>
      </c>
      <c r="O888" t="s">
        <v>131</v>
      </c>
      <c r="P888" t="s">
        <v>121</v>
      </c>
    </row>
    <row r="889" spans="1:16" x14ac:dyDescent="0.25">
      <c r="A889" s="10">
        <v>45611</v>
      </c>
      <c r="B889" s="1" t="s">
        <v>80</v>
      </c>
      <c r="C889" s="2">
        <v>10</v>
      </c>
      <c r="D889" s="1" t="s">
        <v>13</v>
      </c>
      <c r="E889" s="1" t="s">
        <v>23</v>
      </c>
      <c r="F889" s="3">
        <v>0</v>
      </c>
      <c r="G889" s="1" t="s">
        <v>81</v>
      </c>
      <c r="H889" s="1" t="s">
        <v>20</v>
      </c>
      <c r="I889" s="1" t="s">
        <v>26</v>
      </c>
      <c r="J889" s="7">
        <v>101</v>
      </c>
      <c r="K889" s="7">
        <v>116.67</v>
      </c>
      <c r="L889" s="8">
        <v>1010</v>
      </c>
      <c r="M889" s="8">
        <v>1166.7</v>
      </c>
      <c r="N889">
        <v>15</v>
      </c>
      <c r="O889" t="s">
        <v>131</v>
      </c>
      <c r="P889" t="s">
        <v>121</v>
      </c>
    </row>
    <row r="890" spans="1:16" x14ac:dyDescent="0.25">
      <c r="A890" s="10">
        <v>45611</v>
      </c>
      <c r="B890" s="1" t="s">
        <v>70</v>
      </c>
      <c r="C890" s="2">
        <v>1</v>
      </c>
      <c r="D890" s="1" t="s">
        <v>13</v>
      </c>
      <c r="E890" s="1" t="s">
        <v>13</v>
      </c>
      <c r="F890" s="3">
        <v>0.02</v>
      </c>
      <c r="G890" s="1" t="s">
        <v>71</v>
      </c>
      <c r="H890" s="1" t="s">
        <v>43</v>
      </c>
      <c r="I890" s="1" t="s">
        <v>21</v>
      </c>
      <c r="J890" s="7">
        <v>55</v>
      </c>
      <c r="K890" s="7">
        <v>59.47</v>
      </c>
      <c r="L890" s="8">
        <v>55</v>
      </c>
      <c r="M890" s="8">
        <v>59.47</v>
      </c>
      <c r="N890">
        <v>15</v>
      </c>
      <c r="O890" t="s">
        <v>131</v>
      </c>
      <c r="P890" t="s">
        <v>121</v>
      </c>
    </row>
    <row r="891" spans="1:16" x14ac:dyDescent="0.25">
      <c r="A891" s="10">
        <v>45612</v>
      </c>
      <c r="B891" s="1" t="s">
        <v>27</v>
      </c>
      <c r="C891" s="2">
        <v>8</v>
      </c>
      <c r="D891" s="1" t="s">
        <v>18</v>
      </c>
      <c r="E891" s="1" t="s">
        <v>13</v>
      </c>
      <c r="F891" s="3">
        <v>0</v>
      </c>
      <c r="G891" s="1" t="s">
        <v>28</v>
      </c>
      <c r="H891" s="1" t="s">
        <v>25</v>
      </c>
      <c r="I891" s="1" t="s">
        <v>26</v>
      </c>
      <c r="J891" s="7">
        <v>50</v>
      </c>
      <c r="K891" s="7">
        <v>55.51</v>
      </c>
      <c r="L891" s="8">
        <v>400</v>
      </c>
      <c r="M891" s="8">
        <v>444.08</v>
      </c>
      <c r="N891">
        <v>16</v>
      </c>
      <c r="O891" t="s">
        <v>131</v>
      </c>
      <c r="P891" t="s">
        <v>121</v>
      </c>
    </row>
    <row r="892" spans="1:16" x14ac:dyDescent="0.25">
      <c r="A892" s="10">
        <v>45612</v>
      </c>
      <c r="B892" s="1" t="s">
        <v>41</v>
      </c>
      <c r="C892" s="2">
        <v>8</v>
      </c>
      <c r="D892" s="1" t="s">
        <v>12</v>
      </c>
      <c r="E892" s="1" t="s">
        <v>13</v>
      </c>
      <c r="F892" s="3">
        <v>0</v>
      </c>
      <c r="G892" s="1" t="s">
        <v>42</v>
      </c>
      <c r="H892" s="1" t="s">
        <v>43</v>
      </c>
      <c r="I892" s="1" t="s">
        <v>26</v>
      </c>
      <c r="J892" s="7">
        <v>80</v>
      </c>
      <c r="K892" s="7">
        <v>89.27</v>
      </c>
      <c r="L892" s="8">
        <v>640</v>
      </c>
      <c r="M892" s="8">
        <v>714.16</v>
      </c>
      <c r="N892">
        <v>16</v>
      </c>
      <c r="O892" t="s">
        <v>131</v>
      </c>
      <c r="P892" t="s">
        <v>121</v>
      </c>
    </row>
    <row r="893" spans="1:16" x14ac:dyDescent="0.25">
      <c r="A893" s="10">
        <v>45613</v>
      </c>
      <c r="B893" s="1" t="s">
        <v>94</v>
      </c>
      <c r="C893" s="2">
        <v>1</v>
      </c>
      <c r="D893" s="1" t="s">
        <v>18</v>
      </c>
      <c r="E893" s="1" t="s">
        <v>13</v>
      </c>
      <c r="F893" s="3">
        <v>0.02</v>
      </c>
      <c r="G893" s="1" t="s">
        <v>95</v>
      </c>
      <c r="H893" s="1" t="s">
        <v>20</v>
      </c>
      <c r="I893" s="1" t="s">
        <v>26</v>
      </c>
      <c r="J893" s="7">
        <v>62</v>
      </c>
      <c r="K893" s="7">
        <v>70.819999999999993</v>
      </c>
      <c r="L893" s="8">
        <v>62</v>
      </c>
      <c r="M893" s="8">
        <v>70.819999999999993</v>
      </c>
      <c r="N893">
        <v>17</v>
      </c>
      <c r="O893" t="s">
        <v>131</v>
      </c>
      <c r="P893" t="s">
        <v>121</v>
      </c>
    </row>
    <row r="894" spans="1:16" x14ac:dyDescent="0.25">
      <c r="A894" s="10">
        <v>45615</v>
      </c>
      <c r="B894" s="1" t="s">
        <v>68</v>
      </c>
      <c r="C894" s="2">
        <v>9</v>
      </c>
      <c r="D894" s="1" t="s">
        <v>12</v>
      </c>
      <c r="E894" s="1" t="s">
        <v>23</v>
      </c>
      <c r="F894" s="3">
        <v>0.02</v>
      </c>
      <c r="G894" s="1" t="s">
        <v>69</v>
      </c>
      <c r="H894" s="1" t="s">
        <v>15</v>
      </c>
      <c r="I894" s="1" t="s">
        <v>38</v>
      </c>
      <c r="J894" s="7">
        <v>136</v>
      </c>
      <c r="K894" s="7">
        <v>147.72</v>
      </c>
      <c r="L894" s="8">
        <v>1224</v>
      </c>
      <c r="M894" s="8">
        <v>1329.48</v>
      </c>
      <c r="N894">
        <v>19</v>
      </c>
      <c r="O894" t="s">
        <v>131</v>
      </c>
      <c r="P894" t="s">
        <v>121</v>
      </c>
    </row>
    <row r="895" spans="1:16" x14ac:dyDescent="0.25">
      <c r="A895" s="10">
        <v>45615</v>
      </c>
      <c r="B895" s="1" t="s">
        <v>100</v>
      </c>
      <c r="C895" s="2">
        <v>12</v>
      </c>
      <c r="D895" s="1" t="s">
        <v>13</v>
      </c>
      <c r="E895" s="1" t="s">
        <v>23</v>
      </c>
      <c r="F895" s="3">
        <v>0</v>
      </c>
      <c r="G895" s="1" t="s">
        <v>101</v>
      </c>
      <c r="H895" s="1" t="s">
        <v>25</v>
      </c>
      <c r="I895" s="1" t="s">
        <v>26</v>
      </c>
      <c r="J895" s="7">
        <v>91</v>
      </c>
      <c r="K895" s="7">
        <v>98.55</v>
      </c>
      <c r="L895" s="8">
        <v>1092</v>
      </c>
      <c r="M895" s="8">
        <v>1182.5999999999999</v>
      </c>
      <c r="N895">
        <v>19</v>
      </c>
      <c r="O895" t="s">
        <v>131</v>
      </c>
      <c r="P895" t="s">
        <v>121</v>
      </c>
    </row>
    <row r="896" spans="1:16" x14ac:dyDescent="0.25">
      <c r="A896" s="10">
        <v>45616</v>
      </c>
      <c r="B896" s="1" t="s">
        <v>39</v>
      </c>
      <c r="C896" s="2">
        <v>15</v>
      </c>
      <c r="D896" s="1" t="s">
        <v>18</v>
      </c>
      <c r="E896" s="1" t="s">
        <v>13</v>
      </c>
      <c r="F896" s="3">
        <v>0</v>
      </c>
      <c r="G896" s="1" t="s">
        <v>40</v>
      </c>
      <c r="H896" s="1" t="s">
        <v>33</v>
      </c>
      <c r="I896" s="1" t="s">
        <v>38</v>
      </c>
      <c r="J896" s="7">
        <v>104</v>
      </c>
      <c r="K896" s="7">
        <v>114.78</v>
      </c>
      <c r="L896" s="8">
        <v>1560</v>
      </c>
      <c r="M896" s="8">
        <v>1721.7</v>
      </c>
      <c r="N896">
        <v>20</v>
      </c>
      <c r="O896" t="s">
        <v>131</v>
      </c>
      <c r="P896" t="s">
        <v>121</v>
      </c>
    </row>
    <row r="897" spans="1:16" x14ac:dyDescent="0.25">
      <c r="A897" s="10">
        <v>45618</v>
      </c>
      <c r="B897" s="1" t="s">
        <v>31</v>
      </c>
      <c r="C897" s="2">
        <v>2</v>
      </c>
      <c r="D897" s="1" t="s">
        <v>13</v>
      </c>
      <c r="E897" s="1" t="s">
        <v>13</v>
      </c>
      <c r="F897" s="3">
        <v>0</v>
      </c>
      <c r="G897" s="1" t="s">
        <v>32</v>
      </c>
      <c r="H897" s="1" t="s">
        <v>33</v>
      </c>
      <c r="I897" s="1" t="s">
        <v>21</v>
      </c>
      <c r="J897" s="7">
        <v>67</v>
      </c>
      <c r="K897" s="7">
        <v>76.290000000000006</v>
      </c>
      <c r="L897" s="8">
        <v>134</v>
      </c>
      <c r="M897" s="8">
        <v>152.58000000000001</v>
      </c>
      <c r="N897">
        <v>22</v>
      </c>
      <c r="O897" t="s">
        <v>131</v>
      </c>
      <c r="P897" t="s">
        <v>121</v>
      </c>
    </row>
    <row r="898" spans="1:16" x14ac:dyDescent="0.25">
      <c r="A898" s="10">
        <v>45618</v>
      </c>
      <c r="B898" s="1" t="s">
        <v>70</v>
      </c>
      <c r="C898" s="2">
        <v>4</v>
      </c>
      <c r="D898" s="1" t="s">
        <v>13</v>
      </c>
      <c r="E898" s="1" t="s">
        <v>13</v>
      </c>
      <c r="F898" s="3">
        <v>0</v>
      </c>
      <c r="G898" s="1" t="s">
        <v>71</v>
      </c>
      <c r="H898" s="1" t="s">
        <v>43</v>
      </c>
      <c r="I898" s="1" t="s">
        <v>21</v>
      </c>
      <c r="J898" s="7">
        <v>54</v>
      </c>
      <c r="K898" s="7">
        <v>60.57</v>
      </c>
      <c r="L898" s="8">
        <v>216</v>
      </c>
      <c r="M898" s="8">
        <v>242.28</v>
      </c>
      <c r="N898">
        <v>22</v>
      </c>
      <c r="O898" t="s">
        <v>131</v>
      </c>
      <c r="P898" t="s">
        <v>121</v>
      </c>
    </row>
    <row r="899" spans="1:16" x14ac:dyDescent="0.25">
      <c r="A899" s="10">
        <v>45620</v>
      </c>
      <c r="B899" s="1" t="s">
        <v>112</v>
      </c>
      <c r="C899" s="2">
        <v>8</v>
      </c>
      <c r="D899" s="1" t="s">
        <v>18</v>
      </c>
      <c r="E899" s="1" t="s">
        <v>13</v>
      </c>
      <c r="F899" s="3">
        <v>0</v>
      </c>
      <c r="G899" s="1" t="s">
        <v>113</v>
      </c>
      <c r="H899" s="1" t="s">
        <v>20</v>
      </c>
      <c r="I899" s="1" t="s">
        <v>16</v>
      </c>
      <c r="J899" s="7">
        <v>10</v>
      </c>
      <c r="K899" s="7">
        <v>11.19</v>
      </c>
      <c r="L899" s="8">
        <v>80</v>
      </c>
      <c r="M899" s="8">
        <v>89.52</v>
      </c>
      <c r="N899">
        <v>24</v>
      </c>
      <c r="O899" t="s">
        <v>131</v>
      </c>
      <c r="P899" t="s">
        <v>121</v>
      </c>
    </row>
    <row r="900" spans="1:16" x14ac:dyDescent="0.25">
      <c r="A900" s="10">
        <v>45620</v>
      </c>
      <c r="B900" s="1" t="s">
        <v>108</v>
      </c>
      <c r="C900" s="2">
        <v>13</v>
      </c>
      <c r="D900" s="1" t="s">
        <v>18</v>
      </c>
      <c r="E900" s="1" t="s">
        <v>23</v>
      </c>
      <c r="F900" s="3">
        <v>0</v>
      </c>
      <c r="G900" s="1" t="s">
        <v>109</v>
      </c>
      <c r="H900" s="1" t="s">
        <v>43</v>
      </c>
      <c r="I900" s="1" t="s">
        <v>26</v>
      </c>
      <c r="J900" s="7">
        <v>70</v>
      </c>
      <c r="K900" s="7">
        <v>80.239999999999995</v>
      </c>
      <c r="L900" s="8">
        <v>910</v>
      </c>
      <c r="M900" s="8">
        <v>1043.1199999999999</v>
      </c>
      <c r="N900">
        <v>24</v>
      </c>
      <c r="O900" t="s">
        <v>131</v>
      </c>
      <c r="P900" t="s">
        <v>121</v>
      </c>
    </row>
    <row r="901" spans="1:16" x14ac:dyDescent="0.25">
      <c r="A901" s="10">
        <v>45620</v>
      </c>
      <c r="B901" s="1" t="s">
        <v>46</v>
      </c>
      <c r="C901" s="2">
        <v>11</v>
      </c>
      <c r="D901" s="1" t="s">
        <v>18</v>
      </c>
      <c r="E901" s="1" t="s">
        <v>13</v>
      </c>
      <c r="F901" s="3">
        <v>0.05</v>
      </c>
      <c r="G901" s="1" t="s">
        <v>47</v>
      </c>
      <c r="H901" s="1" t="s">
        <v>15</v>
      </c>
      <c r="I901" s="1" t="s">
        <v>16</v>
      </c>
      <c r="J901" s="7">
        <v>8</v>
      </c>
      <c r="K901" s="7">
        <v>8.25</v>
      </c>
      <c r="L901" s="8">
        <v>88</v>
      </c>
      <c r="M901" s="8">
        <v>90.75</v>
      </c>
      <c r="N901">
        <v>24</v>
      </c>
      <c r="O901" t="s">
        <v>131</v>
      </c>
      <c r="P901" t="s">
        <v>121</v>
      </c>
    </row>
    <row r="902" spans="1:16" x14ac:dyDescent="0.25">
      <c r="A902" s="10">
        <v>45621</v>
      </c>
      <c r="B902" s="1" t="s">
        <v>98</v>
      </c>
      <c r="C902" s="2">
        <v>7</v>
      </c>
      <c r="D902" s="1" t="s">
        <v>13</v>
      </c>
      <c r="E902" s="1" t="s">
        <v>13</v>
      </c>
      <c r="F902" s="3">
        <v>0</v>
      </c>
      <c r="G902" s="1" t="s">
        <v>99</v>
      </c>
      <c r="H902" s="1" t="s">
        <v>43</v>
      </c>
      <c r="I902" s="1" t="s">
        <v>21</v>
      </c>
      <c r="J902" s="7">
        <v>46</v>
      </c>
      <c r="K902" s="7">
        <v>51.61</v>
      </c>
      <c r="L902" s="8">
        <v>322</v>
      </c>
      <c r="M902" s="8">
        <v>361.27</v>
      </c>
      <c r="N902">
        <v>25</v>
      </c>
      <c r="O902" t="s">
        <v>131</v>
      </c>
      <c r="P902" t="s">
        <v>121</v>
      </c>
    </row>
    <row r="903" spans="1:16" x14ac:dyDescent="0.25">
      <c r="A903" s="10">
        <v>45621</v>
      </c>
      <c r="B903" s="1" t="s">
        <v>106</v>
      </c>
      <c r="C903" s="2">
        <v>15</v>
      </c>
      <c r="D903" s="1" t="s">
        <v>13</v>
      </c>
      <c r="E903" s="1" t="s">
        <v>13</v>
      </c>
      <c r="F903" s="3">
        <v>0</v>
      </c>
      <c r="G903" s="1" t="s">
        <v>107</v>
      </c>
      <c r="H903" s="1" t="s">
        <v>25</v>
      </c>
      <c r="I903" s="1" t="s">
        <v>21</v>
      </c>
      <c r="J903" s="7">
        <v>41</v>
      </c>
      <c r="K903" s="7">
        <v>44.96</v>
      </c>
      <c r="L903" s="8">
        <v>615</v>
      </c>
      <c r="M903" s="8">
        <v>674.4</v>
      </c>
      <c r="N903">
        <v>25</v>
      </c>
      <c r="O903" t="s">
        <v>131</v>
      </c>
      <c r="P903" t="s">
        <v>121</v>
      </c>
    </row>
    <row r="904" spans="1:16" x14ac:dyDescent="0.25">
      <c r="A904" s="10">
        <v>45621</v>
      </c>
      <c r="B904" s="1" t="s">
        <v>104</v>
      </c>
      <c r="C904" s="2">
        <v>7</v>
      </c>
      <c r="D904" s="1" t="s">
        <v>12</v>
      </c>
      <c r="E904" s="1" t="s">
        <v>23</v>
      </c>
      <c r="F904" s="3">
        <v>0.02</v>
      </c>
      <c r="G904" s="1" t="s">
        <v>105</v>
      </c>
      <c r="H904" s="1" t="s">
        <v>33</v>
      </c>
      <c r="I904" s="1" t="s">
        <v>26</v>
      </c>
      <c r="J904" s="7">
        <v>95</v>
      </c>
      <c r="K904" s="7">
        <v>101.77</v>
      </c>
      <c r="L904" s="8">
        <v>665</v>
      </c>
      <c r="M904" s="8">
        <v>712.39</v>
      </c>
      <c r="N904">
        <v>25</v>
      </c>
      <c r="O904" t="s">
        <v>131</v>
      </c>
      <c r="P904" t="s">
        <v>121</v>
      </c>
    </row>
    <row r="905" spans="1:16" x14ac:dyDescent="0.25">
      <c r="A905" s="10">
        <v>45622</v>
      </c>
      <c r="B905" s="1" t="s">
        <v>22</v>
      </c>
      <c r="C905" s="2">
        <v>14</v>
      </c>
      <c r="D905" s="1" t="s">
        <v>13</v>
      </c>
      <c r="E905" s="1" t="s">
        <v>13</v>
      </c>
      <c r="F905" s="3">
        <v>0</v>
      </c>
      <c r="G905" s="1" t="s">
        <v>24</v>
      </c>
      <c r="H905" s="1" t="s">
        <v>25</v>
      </c>
      <c r="I905" s="1" t="s">
        <v>26</v>
      </c>
      <c r="J905" s="7">
        <v>119</v>
      </c>
      <c r="K905" s="7">
        <v>134.62</v>
      </c>
      <c r="L905" s="8">
        <v>1666</v>
      </c>
      <c r="M905" s="8">
        <v>1884.68</v>
      </c>
      <c r="N905">
        <v>26</v>
      </c>
      <c r="O905" t="s">
        <v>131</v>
      </c>
      <c r="P905" t="s">
        <v>121</v>
      </c>
    </row>
    <row r="906" spans="1:16" x14ac:dyDescent="0.25">
      <c r="A906" s="10">
        <v>45622</v>
      </c>
      <c r="B906" s="1" t="s">
        <v>76</v>
      </c>
      <c r="C906" s="2">
        <v>14</v>
      </c>
      <c r="D906" s="1" t="s">
        <v>18</v>
      </c>
      <c r="E906" s="1" t="s">
        <v>13</v>
      </c>
      <c r="F906" s="3">
        <v>0</v>
      </c>
      <c r="G906" s="1" t="s">
        <v>77</v>
      </c>
      <c r="H906" s="1" t="s">
        <v>25</v>
      </c>
      <c r="I906" s="1" t="s">
        <v>26</v>
      </c>
      <c r="J906" s="7">
        <v>108</v>
      </c>
      <c r="K906" s="7">
        <v>118.02</v>
      </c>
      <c r="L906" s="8">
        <v>1512</v>
      </c>
      <c r="M906" s="8">
        <v>1652.28</v>
      </c>
      <c r="N906">
        <v>26</v>
      </c>
      <c r="O906" t="s">
        <v>131</v>
      </c>
      <c r="P906" t="s">
        <v>121</v>
      </c>
    </row>
    <row r="907" spans="1:16" x14ac:dyDescent="0.25">
      <c r="A907" s="10">
        <v>45624</v>
      </c>
      <c r="B907" s="1" t="s">
        <v>72</v>
      </c>
      <c r="C907" s="2">
        <v>12</v>
      </c>
      <c r="D907" s="1" t="s">
        <v>12</v>
      </c>
      <c r="E907" s="1" t="s">
        <v>13</v>
      </c>
      <c r="F907" s="3">
        <v>0</v>
      </c>
      <c r="G907" s="1" t="s">
        <v>73</v>
      </c>
      <c r="H907" s="1" t="s">
        <v>33</v>
      </c>
      <c r="I907" s="1" t="s">
        <v>26</v>
      </c>
      <c r="J907" s="7">
        <v>71</v>
      </c>
      <c r="K907" s="7">
        <v>81.430000000000007</v>
      </c>
      <c r="L907" s="8">
        <v>852</v>
      </c>
      <c r="M907" s="8">
        <v>977.16000000000008</v>
      </c>
      <c r="N907">
        <v>28</v>
      </c>
      <c r="O907" t="s">
        <v>131</v>
      </c>
      <c r="P907" t="s">
        <v>121</v>
      </c>
    </row>
    <row r="908" spans="1:16" x14ac:dyDescent="0.25">
      <c r="A908" s="10">
        <v>45624</v>
      </c>
      <c r="B908" s="1" t="s">
        <v>76</v>
      </c>
      <c r="C908" s="2">
        <v>15</v>
      </c>
      <c r="D908" s="1" t="s">
        <v>12</v>
      </c>
      <c r="E908" s="1" t="s">
        <v>23</v>
      </c>
      <c r="F908" s="3">
        <v>0</v>
      </c>
      <c r="G908" s="1" t="s">
        <v>77</v>
      </c>
      <c r="H908" s="1" t="s">
        <v>25</v>
      </c>
      <c r="I908" s="1" t="s">
        <v>26</v>
      </c>
      <c r="J908" s="7">
        <v>111</v>
      </c>
      <c r="K908" s="7">
        <v>124.52</v>
      </c>
      <c r="L908" s="8">
        <v>1665</v>
      </c>
      <c r="M908" s="8">
        <v>1867.8</v>
      </c>
      <c r="N908">
        <v>28</v>
      </c>
      <c r="O908" t="s">
        <v>131</v>
      </c>
      <c r="P908" t="s">
        <v>121</v>
      </c>
    </row>
    <row r="909" spans="1:16" x14ac:dyDescent="0.25">
      <c r="A909" s="10">
        <v>45628</v>
      </c>
      <c r="B909" s="1" t="s">
        <v>98</v>
      </c>
      <c r="C909" s="2">
        <v>12</v>
      </c>
      <c r="D909" s="1" t="s">
        <v>13</v>
      </c>
      <c r="E909" s="1" t="s">
        <v>13</v>
      </c>
      <c r="F909" s="3">
        <v>0</v>
      </c>
      <c r="G909" s="1" t="s">
        <v>99</v>
      </c>
      <c r="H909" s="1" t="s">
        <v>43</v>
      </c>
      <c r="I909" s="1" t="s">
        <v>21</v>
      </c>
      <c r="J909" s="7">
        <v>48</v>
      </c>
      <c r="K909" s="7">
        <v>56.56</v>
      </c>
      <c r="L909" s="8">
        <v>576</v>
      </c>
      <c r="M909" s="8">
        <v>678.72</v>
      </c>
      <c r="N909">
        <v>2</v>
      </c>
      <c r="O909" t="s">
        <v>132</v>
      </c>
      <c r="P909" t="s">
        <v>121</v>
      </c>
    </row>
    <row r="910" spans="1:16" x14ac:dyDescent="0.25">
      <c r="A910" s="10">
        <v>45629</v>
      </c>
      <c r="B910" s="1" t="s">
        <v>52</v>
      </c>
      <c r="C910" s="2">
        <v>1</v>
      </c>
      <c r="D910" s="1" t="s">
        <v>18</v>
      </c>
      <c r="E910" s="1" t="s">
        <v>23</v>
      </c>
      <c r="F910" s="3">
        <v>0</v>
      </c>
      <c r="G910" s="1" t="s">
        <v>53</v>
      </c>
      <c r="H910" s="1" t="s">
        <v>25</v>
      </c>
      <c r="I910" s="1" t="s">
        <v>21</v>
      </c>
      <c r="J910" s="7">
        <v>61</v>
      </c>
      <c r="K910" s="7">
        <v>70.17</v>
      </c>
      <c r="L910" s="8">
        <v>61</v>
      </c>
      <c r="M910" s="8">
        <v>70.17</v>
      </c>
      <c r="N910">
        <v>3</v>
      </c>
      <c r="O910" t="s">
        <v>132</v>
      </c>
      <c r="P910" t="s">
        <v>121</v>
      </c>
    </row>
    <row r="911" spans="1:16" x14ac:dyDescent="0.25">
      <c r="A911" s="10">
        <v>45631</v>
      </c>
      <c r="B911" s="1" t="s">
        <v>104</v>
      </c>
      <c r="C911" s="2">
        <v>13</v>
      </c>
      <c r="D911" s="1" t="s">
        <v>13</v>
      </c>
      <c r="E911" s="1" t="s">
        <v>23</v>
      </c>
      <c r="F911" s="3">
        <v>0</v>
      </c>
      <c r="G911" s="1" t="s">
        <v>105</v>
      </c>
      <c r="H911" s="1" t="s">
        <v>33</v>
      </c>
      <c r="I911" s="1" t="s">
        <v>26</v>
      </c>
      <c r="J911" s="7">
        <v>97</v>
      </c>
      <c r="K911" s="7">
        <v>109.39</v>
      </c>
      <c r="L911" s="8">
        <v>1261</v>
      </c>
      <c r="M911" s="8">
        <v>1422.07</v>
      </c>
      <c r="N911">
        <v>5</v>
      </c>
      <c r="O911" t="s">
        <v>132</v>
      </c>
      <c r="P911" t="s">
        <v>121</v>
      </c>
    </row>
    <row r="912" spans="1:16" x14ac:dyDescent="0.25">
      <c r="A912" s="10">
        <v>45631</v>
      </c>
      <c r="B912" s="1" t="s">
        <v>104</v>
      </c>
      <c r="C912" s="2">
        <v>7</v>
      </c>
      <c r="D912" s="1" t="s">
        <v>18</v>
      </c>
      <c r="E912" s="1" t="s">
        <v>23</v>
      </c>
      <c r="F912" s="3">
        <v>0</v>
      </c>
      <c r="G912" s="1" t="s">
        <v>105</v>
      </c>
      <c r="H912" s="1" t="s">
        <v>33</v>
      </c>
      <c r="I912" s="1" t="s">
        <v>26</v>
      </c>
      <c r="J912" s="7">
        <v>95</v>
      </c>
      <c r="K912" s="7">
        <v>109.02</v>
      </c>
      <c r="L912" s="8">
        <v>665</v>
      </c>
      <c r="M912" s="8">
        <v>763.14</v>
      </c>
      <c r="N912">
        <v>5</v>
      </c>
      <c r="O912" t="s">
        <v>132</v>
      </c>
      <c r="P912" t="s">
        <v>121</v>
      </c>
    </row>
    <row r="913" spans="1:16" x14ac:dyDescent="0.25">
      <c r="A913" s="10">
        <v>45632</v>
      </c>
      <c r="B913" s="1" t="s">
        <v>76</v>
      </c>
      <c r="C913" s="2">
        <v>15</v>
      </c>
      <c r="D913" s="1" t="s">
        <v>13</v>
      </c>
      <c r="E913" s="1" t="s">
        <v>13</v>
      </c>
      <c r="F913" s="3">
        <v>0</v>
      </c>
      <c r="G913" s="1" t="s">
        <v>77</v>
      </c>
      <c r="H913" s="1" t="s">
        <v>25</v>
      </c>
      <c r="I913" s="1" t="s">
        <v>26</v>
      </c>
      <c r="J913" s="7">
        <v>113</v>
      </c>
      <c r="K913" s="7">
        <v>132.05000000000001</v>
      </c>
      <c r="L913" s="8">
        <v>1695</v>
      </c>
      <c r="M913" s="8">
        <v>1980.7500000000002</v>
      </c>
      <c r="N913">
        <v>6</v>
      </c>
      <c r="O913" t="s">
        <v>132</v>
      </c>
      <c r="P913" t="s">
        <v>121</v>
      </c>
    </row>
    <row r="914" spans="1:16" x14ac:dyDescent="0.25">
      <c r="A914" s="10">
        <v>45632</v>
      </c>
      <c r="B914" s="1" t="s">
        <v>56</v>
      </c>
      <c r="C914" s="2">
        <v>1</v>
      </c>
      <c r="D914" s="1" t="s">
        <v>18</v>
      </c>
      <c r="E914" s="1" t="s">
        <v>13</v>
      </c>
      <c r="F914" s="3">
        <v>0</v>
      </c>
      <c r="G914" s="1" t="s">
        <v>57</v>
      </c>
      <c r="H914" s="1" t="s">
        <v>20</v>
      </c>
      <c r="I914" s="1" t="s">
        <v>26</v>
      </c>
      <c r="J914" s="7">
        <v>83</v>
      </c>
      <c r="K914" s="7">
        <v>89.81</v>
      </c>
      <c r="L914" s="8">
        <v>83</v>
      </c>
      <c r="M914" s="8">
        <v>89.81</v>
      </c>
      <c r="N914">
        <v>6</v>
      </c>
      <c r="O914" t="s">
        <v>132</v>
      </c>
      <c r="P914" t="s">
        <v>121</v>
      </c>
    </row>
    <row r="915" spans="1:16" x14ac:dyDescent="0.25">
      <c r="A915" s="10">
        <v>45634</v>
      </c>
      <c r="B915" s="1" t="s">
        <v>96</v>
      </c>
      <c r="C915" s="2">
        <v>15</v>
      </c>
      <c r="D915" s="1" t="s">
        <v>13</v>
      </c>
      <c r="E915" s="1" t="s">
        <v>13</v>
      </c>
      <c r="F915" s="3">
        <v>0</v>
      </c>
      <c r="G915" s="1" t="s">
        <v>97</v>
      </c>
      <c r="H915" s="1" t="s">
        <v>20</v>
      </c>
      <c r="I915" s="1" t="s">
        <v>21</v>
      </c>
      <c r="J915" s="7">
        <v>57</v>
      </c>
      <c r="K915" s="7">
        <v>63.5</v>
      </c>
      <c r="L915" s="8">
        <v>855</v>
      </c>
      <c r="M915" s="8">
        <v>952.5</v>
      </c>
      <c r="N915">
        <v>8</v>
      </c>
      <c r="O915" t="s">
        <v>132</v>
      </c>
      <c r="P915" t="s">
        <v>121</v>
      </c>
    </row>
    <row r="916" spans="1:16" x14ac:dyDescent="0.25">
      <c r="A916" s="10">
        <v>45634</v>
      </c>
      <c r="B916" s="1" t="s">
        <v>27</v>
      </c>
      <c r="C916" s="2">
        <v>8</v>
      </c>
      <c r="D916" s="1" t="s">
        <v>18</v>
      </c>
      <c r="E916" s="1" t="s">
        <v>23</v>
      </c>
      <c r="F916" s="3">
        <v>0</v>
      </c>
      <c r="G916" s="1" t="s">
        <v>28</v>
      </c>
      <c r="H916" s="1" t="s">
        <v>25</v>
      </c>
      <c r="I916" s="1" t="s">
        <v>26</v>
      </c>
      <c r="J916" s="7">
        <v>49</v>
      </c>
      <c r="K916" s="7">
        <v>53.46</v>
      </c>
      <c r="L916" s="8">
        <v>392</v>
      </c>
      <c r="M916" s="8">
        <v>427.68</v>
      </c>
      <c r="N916">
        <v>8</v>
      </c>
      <c r="O916" t="s">
        <v>132</v>
      </c>
      <c r="P916" t="s">
        <v>121</v>
      </c>
    </row>
    <row r="917" spans="1:16" x14ac:dyDescent="0.25">
      <c r="A917" s="10">
        <v>45635</v>
      </c>
      <c r="B917" s="1" t="s">
        <v>66</v>
      </c>
      <c r="C917" s="2">
        <v>13</v>
      </c>
      <c r="D917" s="1" t="s">
        <v>13</v>
      </c>
      <c r="E917" s="1" t="s">
        <v>13</v>
      </c>
      <c r="F917" s="3">
        <v>0</v>
      </c>
      <c r="G917" s="1" t="s">
        <v>67</v>
      </c>
      <c r="H917" s="1" t="s">
        <v>15</v>
      </c>
      <c r="I917" s="1" t="s">
        <v>21</v>
      </c>
      <c r="J917" s="7">
        <v>64</v>
      </c>
      <c r="K917" s="7">
        <v>74.91</v>
      </c>
      <c r="L917" s="8">
        <v>832</v>
      </c>
      <c r="M917" s="8">
        <v>973.82999999999993</v>
      </c>
      <c r="N917">
        <v>9</v>
      </c>
      <c r="O917" t="s">
        <v>132</v>
      </c>
      <c r="P917" t="s">
        <v>121</v>
      </c>
    </row>
    <row r="918" spans="1:16" x14ac:dyDescent="0.25">
      <c r="A918" s="10">
        <v>45636</v>
      </c>
      <c r="B918" s="1" t="s">
        <v>50</v>
      </c>
      <c r="C918" s="2">
        <v>15</v>
      </c>
      <c r="D918" s="1" t="s">
        <v>12</v>
      </c>
      <c r="E918" s="1" t="s">
        <v>13</v>
      </c>
      <c r="F918" s="3">
        <v>0.02</v>
      </c>
      <c r="G918" s="1" t="s">
        <v>51</v>
      </c>
      <c r="H918" s="1" t="s">
        <v>33</v>
      </c>
      <c r="I918" s="1" t="s">
        <v>26</v>
      </c>
      <c r="J918" s="7">
        <v>109</v>
      </c>
      <c r="K918" s="7">
        <v>125.23</v>
      </c>
      <c r="L918" s="8">
        <v>1635</v>
      </c>
      <c r="M918" s="8">
        <v>1878.45</v>
      </c>
      <c r="N918">
        <v>10</v>
      </c>
      <c r="O918" t="s">
        <v>132</v>
      </c>
      <c r="P918" t="s">
        <v>121</v>
      </c>
    </row>
    <row r="919" spans="1:16" x14ac:dyDescent="0.25">
      <c r="A919" s="10">
        <v>45637</v>
      </c>
      <c r="B919" s="1" t="s">
        <v>27</v>
      </c>
      <c r="C919" s="2">
        <v>1</v>
      </c>
      <c r="D919" s="1" t="s">
        <v>13</v>
      </c>
      <c r="E919" s="1" t="s">
        <v>13</v>
      </c>
      <c r="F919" s="3">
        <v>0</v>
      </c>
      <c r="G919" s="1" t="s">
        <v>28</v>
      </c>
      <c r="H919" s="1" t="s">
        <v>25</v>
      </c>
      <c r="I919" s="1" t="s">
        <v>26</v>
      </c>
      <c r="J919" s="7">
        <v>49</v>
      </c>
      <c r="K919" s="7">
        <v>56.58</v>
      </c>
      <c r="L919" s="8">
        <v>49</v>
      </c>
      <c r="M919" s="8">
        <v>56.58</v>
      </c>
      <c r="N919">
        <v>11</v>
      </c>
      <c r="O919" t="s">
        <v>132</v>
      </c>
      <c r="P919" t="s">
        <v>121</v>
      </c>
    </row>
    <row r="920" spans="1:16" x14ac:dyDescent="0.25">
      <c r="A920" s="10">
        <v>45638</v>
      </c>
      <c r="B920" s="1" t="s">
        <v>52</v>
      </c>
      <c r="C920" s="2">
        <v>5</v>
      </c>
      <c r="D920" s="1" t="s">
        <v>18</v>
      </c>
      <c r="E920" s="1" t="s">
        <v>13</v>
      </c>
      <c r="F920" s="3">
        <v>0</v>
      </c>
      <c r="G920" s="1" t="s">
        <v>53</v>
      </c>
      <c r="H920" s="1" t="s">
        <v>25</v>
      </c>
      <c r="I920" s="1" t="s">
        <v>21</v>
      </c>
      <c r="J920" s="7">
        <v>63</v>
      </c>
      <c r="K920" s="7">
        <v>72.739999999999995</v>
      </c>
      <c r="L920" s="8">
        <v>315</v>
      </c>
      <c r="M920" s="8">
        <v>363.7</v>
      </c>
      <c r="N920">
        <v>12</v>
      </c>
      <c r="O920" t="s">
        <v>132</v>
      </c>
      <c r="P920" t="s">
        <v>121</v>
      </c>
    </row>
    <row r="921" spans="1:16" x14ac:dyDescent="0.25">
      <c r="A921" s="10">
        <v>45638</v>
      </c>
      <c r="B921" s="1" t="s">
        <v>76</v>
      </c>
      <c r="C921" s="2">
        <v>3</v>
      </c>
      <c r="D921" s="1" t="s">
        <v>13</v>
      </c>
      <c r="E921" s="1" t="s">
        <v>23</v>
      </c>
      <c r="F921" s="3">
        <v>0</v>
      </c>
      <c r="G921" s="1" t="s">
        <v>77</v>
      </c>
      <c r="H921" s="1" t="s">
        <v>25</v>
      </c>
      <c r="I921" s="1" t="s">
        <v>26</v>
      </c>
      <c r="J921" s="7">
        <v>115</v>
      </c>
      <c r="K921" s="7">
        <v>132.38</v>
      </c>
      <c r="L921" s="8">
        <v>345</v>
      </c>
      <c r="M921" s="8">
        <v>397.14</v>
      </c>
      <c r="N921">
        <v>12</v>
      </c>
      <c r="O921" t="s">
        <v>132</v>
      </c>
      <c r="P921" t="s">
        <v>121</v>
      </c>
    </row>
    <row r="922" spans="1:16" x14ac:dyDescent="0.25">
      <c r="A922" s="10">
        <v>45639</v>
      </c>
      <c r="B922" s="1" t="s">
        <v>48</v>
      </c>
      <c r="C922" s="2">
        <v>6</v>
      </c>
      <c r="D922" s="1" t="s">
        <v>13</v>
      </c>
      <c r="E922" s="1" t="s">
        <v>23</v>
      </c>
      <c r="F922" s="3">
        <v>0.05</v>
      </c>
      <c r="G922" s="1" t="s">
        <v>49</v>
      </c>
      <c r="H922" s="1" t="s">
        <v>15</v>
      </c>
      <c r="I922" s="1" t="s">
        <v>26</v>
      </c>
      <c r="J922" s="7">
        <v>71</v>
      </c>
      <c r="K922" s="7">
        <v>75.36</v>
      </c>
      <c r="L922" s="8">
        <v>426</v>
      </c>
      <c r="M922" s="8">
        <v>452.15999999999997</v>
      </c>
      <c r="N922">
        <v>13</v>
      </c>
      <c r="O922" t="s">
        <v>132</v>
      </c>
      <c r="P922" t="s">
        <v>121</v>
      </c>
    </row>
    <row r="923" spans="1:16" x14ac:dyDescent="0.25">
      <c r="A923" s="10">
        <v>45640</v>
      </c>
      <c r="B923" s="1" t="s">
        <v>31</v>
      </c>
      <c r="C923" s="2">
        <v>9</v>
      </c>
      <c r="D923" s="1" t="s">
        <v>13</v>
      </c>
      <c r="E923" s="1" t="s">
        <v>23</v>
      </c>
      <c r="F923" s="3">
        <v>0</v>
      </c>
      <c r="G923" s="1" t="s">
        <v>32</v>
      </c>
      <c r="H923" s="1" t="s">
        <v>33</v>
      </c>
      <c r="I923" s="1" t="s">
        <v>21</v>
      </c>
      <c r="J923" s="7">
        <v>68</v>
      </c>
      <c r="K923" s="7">
        <v>77.349999999999994</v>
      </c>
      <c r="L923" s="8">
        <v>612</v>
      </c>
      <c r="M923" s="8">
        <v>696.15</v>
      </c>
      <c r="N923">
        <v>14</v>
      </c>
      <c r="O923" t="s">
        <v>132</v>
      </c>
      <c r="P923" t="s">
        <v>121</v>
      </c>
    </row>
    <row r="924" spans="1:16" x14ac:dyDescent="0.25">
      <c r="A924" s="10">
        <v>45640</v>
      </c>
      <c r="B924" s="1" t="s">
        <v>72</v>
      </c>
      <c r="C924" s="2">
        <v>6</v>
      </c>
      <c r="D924" s="1" t="s">
        <v>13</v>
      </c>
      <c r="E924" s="1" t="s">
        <v>13</v>
      </c>
      <c r="F924" s="3">
        <v>0</v>
      </c>
      <c r="G924" s="1" t="s">
        <v>73</v>
      </c>
      <c r="H924" s="1" t="s">
        <v>33</v>
      </c>
      <c r="I924" s="1" t="s">
        <v>26</v>
      </c>
      <c r="J924" s="7">
        <v>72</v>
      </c>
      <c r="K924" s="7">
        <v>84.11</v>
      </c>
      <c r="L924" s="8">
        <v>432</v>
      </c>
      <c r="M924" s="8">
        <v>504.65999999999997</v>
      </c>
      <c r="N924">
        <v>14</v>
      </c>
      <c r="O924" t="s">
        <v>132</v>
      </c>
      <c r="P924" t="s">
        <v>121</v>
      </c>
    </row>
    <row r="925" spans="1:16" x14ac:dyDescent="0.25">
      <c r="A925" s="10">
        <v>45641</v>
      </c>
      <c r="B925" s="1" t="s">
        <v>29</v>
      </c>
      <c r="C925" s="2">
        <v>8</v>
      </c>
      <c r="D925" s="1" t="s">
        <v>12</v>
      </c>
      <c r="E925" s="1" t="s">
        <v>13</v>
      </c>
      <c r="F925" s="3">
        <v>0.05</v>
      </c>
      <c r="G925" s="1" t="s">
        <v>30</v>
      </c>
      <c r="H925" s="1" t="s">
        <v>15</v>
      </c>
      <c r="I925" s="1" t="s">
        <v>16</v>
      </c>
      <c r="J925" s="7">
        <v>13</v>
      </c>
      <c r="K925" s="7">
        <v>14.15</v>
      </c>
      <c r="L925" s="8">
        <v>104</v>
      </c>
      <c r="M925" s="8">
        <v>113.2</v>
      </c>
      <c r="N925">
        <v>15</v>
      </c>
      <c r="O925" t="s">
        <v>132</v>
      </c>
      <c r="P925" t="s">
        <v>121</v>
      </c>
    </row>
    <row r="926" spans="1:16" x14ac:dyDescent="0.25">
      <c r="A926" s="10">
        <v>45641</v>
      </c>
      <c r="B926" s="1" t="s">
        <v>66</v>
      </c>
      <c r="C926" s="2">
        <v>13</v>
      </c>
      <c r="D926" s="1" t="s">
        <v>18</v>
      </c>
      <c r="E926" s="1" t="s">
        <v>13</v>
      </c>
      <c r="F926" s="3">
        <v>0</v>
      </c>
      <c r="G926" s="1" t="s">
        <v>67</v>
      </c>
      <c r="H926" s="1" t="s">
        <v>15</v>
      </c>
      <c r="I926" s="1" t="s">
        <v>21</v>
      </c>
      <c r="J926" s="7">
        <v>63</v>
      </c>
      <c r="K926" s="7">
        <v>68.349999999999994</v>
      </c>
      <c r="L926" s="8">
        <v>819</v>
      </c>
      <c r="M926" s="8">
        <v>888.55</v>
      </c>
      <c r="N926">
        <v>15</v>
      </c>
      <c r="O926" t="s">
        <v>132</v>
      </c>
      <c r="P926" t="s">
        <v>121</v>
      </c>
    </row>
    <row r="927" spans="1:16" x14ac:dyDescent="0.25">
      <c r="A927" s="10">
        <v>45641</v>
      </c>
      <c r="B927" s="1" t="s">
        <v>98</v>
      </c>
      <c r="C927" s="2">
        <v>13</v>
      </c>
      <c r="D927" s="1" t="s">
        <v>13</v>
      </c>
      <c r="E927" s="1" t="s">
        <v>23</v>
      </c>
      <c r="F927" s="3">
        <v>0</v>
      </c>
      <c r="G927" s="1" t="s">
        <v>99</v>
      </c>
      <c r="H927" s="1" t="s">
        <v>43</v>
      </c>
      <c r="I927" s="1" t="s">
        <v>21</v>
      </c>
      <c r="J927" s="7">
        <v>47</v>
      </c>
      <c r="K927" s="7">
        <v>54.84</v>
      </c>
      <c r="L927" s="8">
        <v>611</v>
      </c>
      <c r="M927" s="8">
        <v>712.92000000000007</v>
      </c>
      <c r="N927">
        <v>15</v>
      </c>
      <c r="O927" t="s">
        <v>132</v>
      </c>
      <c r="P927" t="s">
        <v>121</v>
      </c>
    </row>
    <row r="928" spans="1:16" x14ac:dyDescent="0.25">
      <c r="A928" s="10">
        <v>45641</v>
      </c>
      <c r="B928" s="1" t="s">
        <v>68</v>
      </c>
      <c r="C928" s="2">
        <v>7</v>
      </c>
      <c r="D928" s="1" t="s">
        <v>13</v>
      </c>
      <c r="E928" s="1" t="s">
        <v>23</v>
      </c>
      <c r="F928" s="3">
        <v>0</v>
      </c>
      <c r="G928" s="1" t="s">
        <v>69</v>
      </c>
      <c r="H928" s="1" t="s">
        <v>15</v>
      </c>
      <c r="I928" s="1" t="s">
        <v>38</v>
      </c>
      <c r="J928" s="7">
        <v>139</v>
      </c>
      <c r="K928" s="7">
        <v>150.31</v>
      </c>
      <c r="L928" s="8">
        <v>973</v>
      </c>
      <c r="M928" s="8">
        <v>1052.17</v>
      </c>
      <c r="N928">
        <v>15</v>
      </c>
      <c r="O928" t="s">
        <v>132</v>
      </c>
      <c r="P928" t="s">
        <v>121</v>
      </c>
    </row>
    <row r="929" spans="1:16" x14ac:dyDescent="0.25">
      <c r="A929" s="10">
        <v>45641</v>
      </c>
      <c r="B929" s="1" t="s">
        <v>64</v>
      </c>
      <c r="C929" s="2">
        <v>3</v>
      </c>
      <c r="D929" s="1" t="s">
        <v>18</v>
      </c>
      <c r="E929" s="1" t="s">
        <v>13</v>
      </c>
      <c r="F929" s="3">
        <v>0</v>
      </c>
      <c r="G929" s="1" t="s">
        <v>65</v>
      </c>
      <c r="H929" s="1" t="s">
        <v>25</v>
      </c>
      <c r="I929" s="1" t="s">
        <v>26</v>
      </c>
      <c r="J929" s="7">
        <v>64</v>
      </c>
      <c r="K929" s="7">
        <v>74.34</v>
      </c>
      <c r="L929" s="8">
        <v>192</v>
      </c>
      <c r="M929" s="8">
        <v>223.02</v>
      </c>
      <c r="N929">
        <v>15</v>
      </c>
      <c r="O929" t="s">
        <v>132</v>
      </c>
      <c r="P929" t="s">
        <v>121</v>
      </c>
    </row>
    <row r="930" spans="1:16" x14ac:dyDescent="0.25">
      <c r="A930" s="10">
        <v>45642</v>
      </c>
      <c r="B930" s="1" t="s">
        <v>58</v>
      </c>
      <c r="C930" s="2">
        <v>10</v>
      </c>
      <c r="D930" s="1" t="s">
        <v>18</v>
      </c>
      <c r="E930" s="1" t="s">
        <v>13</v>
      </c>
      <c r="F930" s="3">
        <v>0</v>
      </c>
      <c r="G930" s="1" t="s">
        <v>59</v>
      </c>
      <c r="H930" s="1" t="s">
        <v>43</v>
      </c>
      <c r="I930" s="1" t="s">
        <v>26</v>
      </c>
      <c r="J930" s="7">
        <v>104</v>
      </c>
      <c r="K930" s="7">
        <v>119.57</v>
      </c>
      <c r="L930" s="8">
        <v>1040</v>
      </c>
      <c r="M930" s="8">
        <v>1195.6999999999998</v>
      </c>
      <c r="N930">
        <v>16</v>
      </c>
      <c r="O930" t="s">
        <v>132</v>
      </c>
      <c r="P930" t="s">
        <v>121</v>
      </c>
    </row>
    <row r="931" spans="1:16" x14ac:dyDescent="0.25">
      <c r="A931" s="10">
        <v>45642</v>
      </c>
      <c r="B931" s="1" t="s">
        <v>34</v>
      </c>
      <c r="C931" s="2">
        <v>8</v>
      </c>
      <c r="D931" s="1" t="s">
        <v>13</v>
      </c>
      <c r="E931" s="1" t="s">
        <v>23</v>
      </c>
      <c r="F931" s="3">
        <v>0</v>
      </c>
      <c r="G931" s="1" t="s">
        <v>35</v>
      </c>
      <c r="H931" s="1" t="s">
        <v>20</v>
      </c>
      <c r="I931" s="1" t="s">
        <v>16</v>
      </c>
      <c r="J931" s="7">
        <v>5</v>
      </c>
      <c r="K931" s="7">
        <v>5.42</v>
      </c>
      <c r="L931" s="8">
        <v>40</v>
      </c>
      <c r="M931" s="8">
        <v>43.36</v>
      </c>
      <c r="N931">
        <v>16</v>
      </c>
      <c r="O931" t="s">
        <v>132</v>
      </c>
      <c r="P931" t="s">
        <v>121</v>
      </c>
    </row>
    <row r="932" spans="1:16" x14ac:dyDescent="0.25">
      <c r="A932" s="10">
        <v>45642</v>
      </c>
      <c r="B932" s="1" t="s">
        <v>56</v>
      </c>
      <c r="C932" s="2">
        <v>11</v>
      </c>
      <c r="D932" s="1" t="s">
        <v>12</v>
      </c>
      <c r="E932" s="1" t="s">
        <v>13</v>
      </c>
      <c r="F932" s="3">
        <v>0.02</v>
      </c>
      <c r="G932" s="1" t="s">
        <v>57</v>
      </c>
      <c r="H932" s="1" t="s">
        <v>20</v>
      </c>
      <c r="I932" s="1" t="s">
        <v>26</v>
      </c>
      <c r="J932" s="7">
        <v>82</v>
      </c>
      <c r="K932" s="7">
        <v>89.94</v>
      </c>
      <c r="L932" s="8">
        <v>902</v>
      </c>
      <c r="M932" s="8">
        <v>989.33999999999992</v>
      </c>
      <c r="N932">
        <v>16</v>
      </c>
      <c r="O932" t="s">
        <v>132</v>
      </c>
      <c r="P932" t="s">
        <v>121</v>
      </c>
    </row>
    <row r="933" spans="1:16" x14ac:dyDescent="0.25">
      <c r="A933" s="10">
        <v>45643</v>
      </c>
      <c r="B933" s="1" t="s">
        <v>11</v>
      </c>
      <c r="C933" s="2">
        <v>12</v>
      </c>
      <c r="D933" s="1" t="s">
        <v>18</v>
      </c>
      <c r="E933" s="1" t="s">
        <v>23</v>
      </c>
      <c r="F933" s="3">
        <v>0</v>
      </c>
      <c r="G933" s="1" t="s">
        <v>14</v>
      </c>
      <c r="H933" s="1" t="s">
        <v>15</v>
      </c>
      <c r="I933" s="1" t="s">
        <v>16</v>
      </c>
      <c r="J933" s="7">
        <v>8</v>
      </c>
      <c r="K933" s="7">
        <v>8.65</v>
      </c>
      <c r="L933" s="8">
        <v>96</v>
      </c>
      <c r="M933" s="8">
        <v>103.80000000000001</v>
      </c>
      <c r="N933">
        <v>17</v>
      </c>
      <c r="O933" t="s">
        <v>132</v>
      </c>
      <c r="P933" t="s">
        <v>121</v>
      </c>
    </row>
    <row r="934" spans="1:16" x14ac:dyDescent="0.25">
      <c r="A934" s="10">
        <v>45643</v>
      </c>
      <c r="B934" s="1" t="s">
        <v>48</v>
      </c>
      <c r="C934" s="2">
        <v>1</v>
      </c>
      <c r="D934" s="1" t="s">
        <v>13</v>
      </c>
      <c r="E934" s="1" t="s">
        <v>23</v>
      </c>
      <c r="F934" s="3">
        <v>0.05</v>
      </c>
      <c r="G934" s="1" t="s">
        <v>49</v>
      </c>
      <c r="H934" s="1" t="s">
        <v>15</v>
      </c>
      <c r="I934" s="1" t="s">
        <v>26</v>
      </c>
      <c r="J934" s="7">
        <v>71</v>
      </c>
      <c r="K934" s="7">
        <v>75.69</v>
      </c>
      <c r="L934" s="8">
        <v>71</v>
      </c>
      <c r="M934" s="8">
        <v>75.69</v>
      </c>
      <c r="N934">
        <v>17</v>
      </c>
      <c r="O934" t="s">
        <v>132</v>
      </c>
      <c r="P934" t="s">
        <v>121</v>
      </c>
    </row>
    <row r="935" spans="1:16" x14ac:dyDescent="0.25">
      <c r="A935" s="10">
        <v>45644</v>
      </c>
      <c r="B935" s="1" t="s">
        <v>96</v>
      </c>
      <c r="C935" s="2">
        <v>13</v>
      </c>
      <c r="D935" s="1" t="s">
        <v>18</v>
      </c>
      <c r="E935" s="1" t="s">
        <v>13</v>
      </c>
      <c r="F935" s="3">
        <v>0</v>
      </c>
      <c r="G935" s="1" t="s">
        <v>97</v>
      </c>
      <c r="H935" s="1" t="s">
        <v>20</v>
      </c>
      <c r="I935" s="1" t="s">
        <v>21</v>
      </c>
      <c r="J935" s="7">
        <v>57</v>
      </c>
      <c r="K935" s="7">
        <v>64.53</v>
      </c>
      <c r="L935" s="8">
        <v>741</v>
      </c>
      <c r="M935" s="8">
        <v>838.89</v>
      </c>
      <c r="N935">
        <v>18</v>
      </c>
      <c r="O935" t="s">
        <v>132</v>
      </c>
      <c r="P935" t="s">
        <v>121</v>
      </c>
    </row>
    <row r="936" spans="1:16" x14ac:dyDescent="0.25">
      <c r="A936" s="10">
        <v>45644</v>
      </c>
      <c r="B936" s="1" t="s">
        <v>100</v>
      </c>
      <c r="C936" s="2">
        <v>15</v>
      </c>
      <c r="D936" s="1" t="s">
        <v>13</v>
      </c>
      <c r="E936" s="1" t="s">
        <v>23</v>
      </c>
      <c r="F936" s="3">
        <v>0</v>
      </c>
      <c r="G936" s="1" t="s">
        <v>101</v>
      </c>
      <c r="H936" s="1" t="s">
        <v>25</v>
      </c>
      <c r="I936" s="1" t="s">
        <v>26</v>
      </c>
      <c r="J936" s="7">
        <v>96</v>
      </c>
      <c r="K936" s="7">
        <v>111.83</v>
      </c>
      <c r="L936" s="8">
        <v>1440</v>
      </c>
      <c r="M936" s="8">
        <v>1677.45</v>
      </c>
      <c r="N936">
        <v>18</v>
      </c>
      <c r="O936" t="s">
        <v>132</v>
      </c>
      <c r="P936" t="s">
        <v>121</v>
      </c>
    </row>
    <row r="937" spans="1:16" x14ac:dyDescent="0.25">
      <c r="A937" s="10">
        <v>45645</v>
      </c>
      <c r="B937" s="1" t="s">
        <v>96</v>
      </c>
      <c r="C937" s="2">
        <v>10</v>
      </c>
      <c r="D937" s="1" t="s">
        <v>12</v>
      </c>
      <c r="E937" s="1" t="s">
        <v>23</v>
      </c>
      <c r="F937" s="3">
        <v>0</v>
      </c>
      <c r="G937" s="1" t="s">
        <v>97</v>
      </c>
      <c r="H937" s="1" t="s">
        <v>20</v>
      </c>
      <c r="I937" s="1" t="s">
        <v>21</v>
      </c>
      <c r="J937" s="7">
        <v>57</v>
      </c>
      <c r="K937" s="7">
        <v>64.61</v>
      </c>
      <c r="L937" s="8">
        <v>570</v>
      </c>
      <c r="M937" s="8">
        <v>646.1</v>
      </c>
      <c r="N937">
        <v>19</v>
      </c>
      <c r="O937" t="s">
        <v>132</v>
      </c>
      <c r="P937" t="s">
        <v>121</v>
      </c>
    </row>
    <row r="938" spans="1:16" x14ac:dyDescent="0.25">
      <c r="A938" s="10">
        <v>45646</v>
      </c>
      <c r="B938" s="1" t="s">
        <v>50</v>
      </c>
      <c r="C938" s="2">
        <v>10</v>
      </c>
      <c r="D938" s="1" t="s">
        <v>12</v>
      </c>
      <c r="E938" s="1" t="s">
        <v>13</v>
      </c>
      <c r="F938" s="3">
        <v>0</v>
      </c>
      <c r="G938" s="1" t="s">
        <v>51</v>
      </c>
      <c r="H938" s="1" t="s">
        <v>33</v>
      </c>
      <c r="I938" s="1" t="s">
        <v>26</v>
      </c>
      <c r="J938" s="7">
        <v>107</v>
      </c>
      <c r="K938" s="7">
        <v>125.62</v>
      </c>
      <c r="L938" s="8">
        <v>1070</v>
      </c>
      <c r="M938" s="8">
        <v>1256.2</v>
      </c>
      <c r="N938">
        <v>20</v>
      </c>
      <c r="O938" t="s">
        <v>132</v>
      </c>
      <c r="P938" t="s">
        <v>121</v>
      </c>
    </row>
    <row r="939" spans="1:16" x14ac:dyDescent="0.25">
      <c r="A939" s="10">
        <v>45646</v>
      </c>
      <c r="B939" s="1" t="s">
        <v>102</v>
      </c>
      <c r="C939" s="2">
        <v>12</v>
      </c>
      <c r="D939" s="1" t="s">
        <v>18</v>
      </c>
      <c r="E939" s="1" t="s">
        <v>23</v>
      </c>
      <c r="F939" s="3">
        <v>0.05</v>
      </c>
      <c r="G939" s="1" t="s">
        <v>103</v>
      </c>
      <c r="H939" s="1" t="s">
        <v>15</v>
      </c>
      <c r="I939" s="1" t="s">
        <v>38</v>
      </c>
      <c r="J939" s="7">
        <v>152</v>
      </c>
      <c r="K939" s="7">
        <v>166.55</v>
      </c>
      <c r="L939" s="8">
        <v>1824</v>
      </c>
      <c r="M939" s="8">
        <v>1998.6000000000001</v>
      </c>
      <c r="N939">
        <v>20</v>
      </c>
      <c r="O939" t="s">
        <v>132</v>
      </c>
      <c r="P939" t="s">
        <v>121</v>
      </c>
    </row>
    <row r="940" spans="1:16" x14ac:dyDescent="0.25">
      <c r="A940" s="10">
        <v>45646</v>
      </c>
      <c r="B940" s="1" t="s">
        <v>11</v>
      </c>
      <c r="C940" s="2">
        <v>2</v>
      </c>
      <c r="D940" s="1" t="s">
        <v>13</v>
      </c>
      <c r="E940" s="1" t="s">
        <v>13</v>
      </c>
      <c r="F940" s="3">
        <v>0</v>
      </c>
      <c r="G940" s="1" t="s">
        <v>14</v>
      </c>
      <c r="H940" s="1" t="s">
        <v>15</v>
      </c>
      <c r="I940" s="1" t="s">
        <v>16</v>
      </c>
      <c r="J940" s="7">
        <v>8</v>
      </c>
      <c r="K940" s="7">
        <v>9.08</v>
      </c>
      <c r="L940" s="8">
        <v>16</v>
      </c>
      <c r="M940" s="8">
        <v>18.16</v>
      </c>
      <c r="N940">
        <v>20</v>
      </c>
      <c r="O940" t="s">
        <v>132</v>
      </c>
      <c r="P940" t="s">
        <v>121</v>
      </c>
    </row>
    <row r="941" spans="1:16" x14ac:dyDescent="0.25">
      <c r="A941" s="10">
        <v>45647</v>
      </c>
      <c r="B941" s="1" t="s">
        <v>102</v>
      </c>
      <c r="C941" s="2">
        <v>2</v>
      </c>
      <c r="D941" s="1" t="s">
        <v>12</v>
      </c>
      <c r="E941" s="1" t="s">
        <v>23</v>
      </c>
      <c r="F941" s="3">
        <v>0.02</v>
      </c>
      <c r="G941" s="1" t="s">
        <v>103</v>
      </c>
      <c r="H941" s="1" t="s">
        <v>15</v>
      </c>
      <c r="I941" s="1" t="s">
        <v>38</v>
      </c>
      <c r="J941" s="7">
        <v>155</v>
      </c>
      <c r="K941" s="7">
        <v>171.75</v>
      </c>
      <c r="L941" s="8">
        <v>310</v>
      </c>
      <c r="M941" s="8">
        <v>343.5</v>
      </c>
      <c r="N941">
        <v>21</v>
      </c>
      <c r="O941" t="s">
        <v>132</v>
      </c>
      <c r="P941" t="s">
        <v>121</v>
      </c>
    </row>
    <row r="942" spans="1:16" x14ac:dyDescent="0.25">
      <c r="A942" s="10">
        <v>45649</v>
      </c>
      <c r="B942" s="1" t="s">
        <v>29</v>
      </c>
      <c r="C942" s="2">
        <v>14</v>
      </c>
      <c r="D942" s="1" t="s">
        <v>18</v>
      </c>
      <c r="E942" s="1" t="s">
        <v>23</v>
      </c>
      <c r="F942" s="3">
        <v>0</v>
      </c>
      <c r="G942" s="1" t="s">
        <v>30</v>
      </c>
      <c r="H942" s="1" t="s">
        <v>15</v>
      </c>
      <c r="I942" s="1" t="s">
        <v>16</v>
      </c>
      <c r="J942" s="7">
        <v>12</v>
      </c>
      <c r="K942" s="7">
        <v>13.59</v>
      </c>
      <c r="L942" s="8">
        <v>168</v>
      </c>
      <c r="M942" s="8">
        <v>190.26</v>
      </c>
      <c r="N942">
        <v>23</v>
      </c>
      <c r="O942" t="s">
        <v>132</v>
      </c>
      <c r="P942" t="s">
        <v>121</v>
      </c>
    </row>
    <row r="943" spans="1:16" x14ac:dyDescent="0.25">
      <c r="A943" s="10">
        <v>45650</v>
      </c>
      <c r="B943" s="1" t="s">
        <v>70</v>
      </c>
      <c r="C943" s="2">
        <v>10</v>
      </c>
      <c r="D943" s="1" t="s">
        <v>13</v>
      </c>
      <c r="E943" s="1" t="s">
        <v>13</v>
      </c>
      <c r="F943" s="3">
        <v>0</v>
      </c>
      <c r="G943" s="1" t="s">
        <v>71</v>
      </c>
      <c r="H943" s="1" t="s">
        <v>43</v>
      </c>
      <c r="I943" s="1" t="s">
        <v>21</v>
      </c>
      <c r="J943" s="7">
        <v>57</v>
      </c>
      <c r="K943" s="7">
        <v>63.57</v>
      </c>
      <c r="L943" s="8">
        <v>570</v>
      </c>
      <c r="M943" s="8">
        <v>635.70000000000005</v>
      </c>
      <c r="N943">
        <v>24</v>
      </c>
      <c r="O943" t="s">
        <v>132</v>
      </c>
      <c r="P943" t="s">
        <v>121</v>
      </c>
    </row>
    <row r="944" spans="1:16" x14ac:dyDescent="0.25">
      <c r="A944" s="10">
        <v>45650</v>
      </c>
      <c r="B944" s="1" t="s">
        <v>31</v>
      </c>
      <c r="C944" s="2">
        <v>2</v>
      </c>
      <c r="D944" s="1" t="s">
        <v>13</v>
      </c>
      <c r="E944" s="1" t="s">
        <v>13</v>
      </c>
      <c r="F944" s="3">
        <v>0</v>
      </c>
      <c r="G944" s="1" t="s">
        <v>32</v>
      </c>
      <c r="H944" s="1" t="s">
        <v>33</v>
      </c>
      <c r="I944" s="1" t="s">
        <v>21</v>
      </c>
      <c r="J944" s="7">
        <v>66</v>
      </c>
      <c r="K944" s="7">
        <v>72.08</v>
      </c>
      <c r="L944" s="8">
        <v>132</v>
      </c>
      <c r="M944" s="8">
        <v>144.16</v>
      </c>
      <c r="N944">
        <v>24</v>
      </c>
      <c r="O944" t="s">
        <v>132</v>
      </c>
      <c r="P944" t="s">
        <v>121</v>
      </c>
    </row>
    <row r="945" spans="1:16" x14ac:dyDescent="0.25">
      <c r="A945" s="10">
        <v>45650</v>
      </c>
      <c r="B945" s="1" t="s">
        <v>82</v>
      </c>
      <c r="C945" s="2">
        <v>2</v>
      </c>
      <c r="D945" s="1" t="s">
        <v>13</v>
      </c>
      <c r="E945" s="1" t="s">
        <v>13</v>
      </c>
      <c r="F945" s="3">
        <v>0</v>
      </c>
      <c r="G945" s="1" t="s">
        <v>83</v>
      </c>
      <c r="H945" s="1" t="s">
        <v>33</v>
      </c>
      <c r="I945" s="1" t="s">
        <v>16</v>
      </c>
      <c r="J945" s="7">
        <v>12</v>
      </c>
      <c r="K945" s="7">
        <v>13.23</v>
      </c>
      <c r="L945" s="8">
        <v>24</v>
      </c>
      <c r="M945" s="8">
        <v>26.46</v>
      </c>
      <c r="N945">
        <v>24</v>
      </c>
      <c r="O945" t="s">
        <v>132</v>
      </c>
      <c r="P945" t="s">
        <v>121</v>
      </c>
    </row>
    <row r="946" spans="1:16" x14ac:dyDescent="0.25">
      <c r="A946" s="10">
        <v>45652</v>
      </c>
      <c r="B946" s="1" t="s">
        <v>70</v>
      </c>
      <c r="C946" s="2">
        <v>5</v>
      </c>
      <c r="D946" s="1" t="s">
        <v>18</v>
      </c>
      <c r="E946" s="1" t="s">
        <v>23</v>
      </c>
      <c r="F946" s="3">
        <v>0</v>
      </c>
      <c r="G946" s="1" t="s">
        <v>71</v>
      </c>
      <c r="H946" s="1" t="s">
        <v>43</v>
      </c>
      <c r="I946" s="1" t="s">
        <v>21</v>
      </c>
      <c r="J946" s="7">
        <v>57</v>
      </c>
      <c r="K946" s="7">
        <v>65.13</v>
      </c>
      <c r="L946" s="8">
        <v>285</v>
      </c>
      <c r="M946" s="8">
        <v>325.64999999999998</v>
      </c>
      <c r="N946">
        <v>26</v>
      </c>
      <c r="O946" t="s">
        <v>132</v>
      </c>
      <c r="P946" t="s">
        <v>121</v>
      </c>
    </row>
    <row r="947" spans="1:16" x14ac:dyDescent="0.25">
      <c r="A947" s="10">
        <v>45652</v>
      </c>
      <c r="B947" s="1" t="s">
        <v>22</v>
      </c>
      <c r="C947" s="2">
        <v>6</v>
      </c>
      <c r="D947" s="1" t="s">
        <v>18</v>
      </c>
      <c r="E947" s="1" t="s">
        <v>23</v>
      </c>
      <c r="F947" s="3">
        <v>0</v>
      </c>
      <c r="G947" s="1" t="s">
        <v>24</v>
      </c>
      <c r="H947" s="1" t="s">
        <v>25</v>
      </c>
      <c r="I947" s="1" t="s">
        <v>26</v>
      </c>
      <c r="J947" s="7">
        <v>123</v>
      </c>
      <c r="K947" s="7">
        <v>143.82</v>
      </c>
      <c r="L947" s="8">
        <v>738</v>
      </c>
      <c r="M947" s="8">
        <v>862.92</v>
      </c>
      <c r="N947">
        <v>26</v>
      </c>
      <c r="O947" t="s">
        <v>132</v>
      </c>
      <c r="P947" t="s">
        <v>121</v>
      </c>
    </row>
    <row r="948" spans="1:16" x14ac:dyDescent="0.25">
      <c r="A948" s="10">
        <v>45653</v>
      </c>
      <c r="B948" s="1" t="s">
        <v>46</v>
      </c>
      <c r="C948" s="2">
        <v>10</v>
      </c>
      <c r="D948" s="1" t="s">
        <v>13</v>
      </c>
      <c r="E948" s="1" t="s">
        <v>13</v>
      </c>
      <c r="F948" s="3">
        <v>0</v>
      </c>
      <c r="G948" s="1" t="s">
        <v>47</v>
      </c>
      <c r="H948" s="1" t="s">
        <v>15</v>
      </c>
      <c r="I948" s="1" t="s">
        <v>16</v>
      </c>
      <c r="J948" s="7">
        <v>9</v>
      </c>
      <c r="K948" s="7">
        <v>10.38</v>
      </c>
      <c r="L948" s="8">
        <v>90</v>
      </c>
      <c r="M948" s="8">
        <v>103.80000000000001</v>
      </c>
      <c r="N948">
        <v>27</v>
      </c>
      <c r="O948" t="s">
        <v>132</v>
      </c>
      <c r="P948" t="s">
        <v>121</v>
      </c>
    </row>
    <row r="949" spans="1:16" x14ac:dyDescent="0.25">
      <c r="A949" s="10">
        <v>45655</v>
      </c>
      <c r="B949" s="1" t="s">
        <v>78</v>
      </c>
      <c r="C949" s="2">
        <v>7</v>
      </c>
      <c r="D949" s="1" t="s">
        <v>13</v>
      </c>
      <c r="E949" s="1" t="s">
        <v>13</v>
      </c>
      <c r="F949" s="3">
        <v>0</v>
      </c>
      <c r="G949" s="1" t="s">
        <v>79</v>
      </c>
      <c r="H949" s="1" t="s">
        <v>33</v>
      </c>
      <c r="I949" s="1" t="s">
        <v>21</v>
      </c>
      <c r="J949" s="7">
        <v>43</v>
      </c>
      <c r="K949" s="7">
        <v>48.8</v>
      </c>
      <c r="L949" s="8">
        <v>301</v>
      </c>
      <c r="M949" s="8">
        <v>341.59999999999997</v>
      </c>
      <c r="N949">
        <v>29</v>
      </c>
      <c r="O949" t="s">
        <v>132</v>
      </c>
      <c r="P949" t="s">
        <v>121</v>
      </c>
    </row>
    <row r="950" spans="1:16" x14ac:dyDescent="0.25">
      <c r="A950" s="10">
        <v>45656</v>
      </c>
      <c r="B950" s="1" t="s">
        <v>11</v>
      </c>
      <c r="C950" s="2">
        <v>5</v>
      </c>
      <c r="D950" s="1" t="s">
        <v>13</v>
      </c>
      <c r="E950" s="1" t="s">
        <v>13</v>
      </c>
      <c r="F950" s="3">
        <v>0</v>
      </c>
      <c r="G950" s="1" t="s">
        <v>14</v>
      </c>
      <c r="H950" s="1" t="s">
        <v>15</v>
      </c>
      <c r="I950" s="1" t="s">
        <v>16</v>
      </c>
      <c r="J950" s="7">
        <v>8</v>
      </c>
      <c r="K950" s="7">
        <v>8.7100000000000009</v>
      </c>
      <c r="L950" s="8">
        <v>40</v>
      </c>
      <c r="M950" s="8">
        <v>43.550000000000004</v>
      </c>
      <c r="N950">
        <v>30</v>
      </c>
      <c r="O950" t="s">
        <v>132</v>
      </c>
      <c r="P950" t="s">
        <v>121</v>
      </c>
    </row>
    <row r="951" spans="1:16" x14ac:dyDescent="0.25">
      <c r="A951" s="10">
        <v>45656</v>
      </c>
      <c r="B951" s="1" t="s">
        <v>74</v>
      </c>
      <c r="C951" s="2">
        <v>2</v>
      </c>
      <c r="D951" s="1" t="s">
        <v>18</v>
      </c>
      <c r="E951" s="1" t="s">
        <v>13</v>
      </c>
      <c r="F951" s="3">
        <v>0</v>
      </c>
      <c r="G951" s="1" t="s">
        <v>75</v>
      </c>
      <c r="H951" s="1" t="s">
        <v>20</v>
      </c>
      <c r="I951" s="1" t="s">
        <v>21</v>
      </c>
      <c r="J951" s="7">
        <v>49</v>
      </c>
      <c r="K951" s="7">
        <v>57.6</v>
      </c>
      <c r="L951" s="8">
        <v>98</v>
      </c>
      <c r="M951" s="8">
        <v>115.2</v>
      </c>
      <c r="N951">
        <v>30</v>
      </c>
      <c r="O951" t="s">
        <v>132</v>
      </c>
      <c r="P951" t="s">
        <v>121</v>
      </c>
    </row>
  </sheetData>
  <pageMargins left="0.7" right="0.7" top="0.75" bottom="0.75" header="0.3" footer="0.3"/>
  <ignoredErrors>
    <ignoredError sqref="P2:P951" numberStoredAsText="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dc:creator>
  <cp:lastModifiedBy>Sunil Pandey</cp:lastModifiedBy>
  <dcterms:created xsi:type="dcterms:W3CDTF">2026-06-18T12:11:56Z</dcterms:created>
  <dcterms:modified xsi:type="dcterms:W3CDTF">2026-06-29T09:55:45Z</dcterms:modified>
</cp:coreProperties>
</file>